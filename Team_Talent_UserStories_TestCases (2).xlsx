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d.docs.live.net/0ABD68B6E92EB6E7/Documents/"/>
    </mc:Choice>
  </mc:AlternateContent>
  <xr:revisionPtr revIDLastSave="0" documentId="8_{7A2E2249-6440-45D0-8CE5-308DF24E22A2}" xr6:coauthVersionLast="47" xr6:coauthVersionMax="47" xr10:uidLastSave="{00000000-0000-0000-0000-000000000000}"/>
  <bookViews>
    <workbookView xWindow="-110" yWindow="-110" windowWidth="19420" windowHeight="11020" tabRatio="500" firstSheet="1" activeTab="1" xr2:uid="{00000000-000D-0000-FFFF-FFFF00000000}"/>
  </bookViews>
  <sheets>
    <sheet name="Read Me" sheetId="1" r:id="rId1"/>
    <sheet name="User Stories" sheetId="2" r:id="rId2"/>
    <sheet name="Test Cases" sheetId="3" r:id="rId3"/>
    <sheet name="Traceability Summary" sheetId="4" r:id="rId4"/>
    <sheet name="Team Members"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41" i="4" l="1"/>
  <c r="L141" i="4"/>
  <c r="K141" i="4"/>
  <c r="J141" i="4"/>
  <c r="I141" i="4"/>
  <c r="H141" i="4"/>
  <c r="G141" i="4"/>
  <c r="F141" i="4"/>
  <c r="E141" i="4"/>
  <c r="D141" i="4"/>
  <c r="M141" i="4" s="1"/>
  <c r="C141" i="4"/>
  <c r="B141" i="4"/>
  <c r="N140" i="4"/>
  <c r="L140" i="4"/>
  <c r="K140" i="4"/>
  <c r="J140" i="4"/>
  <c r="I140" i="4"/>
  <c r="H140" i="4"/>
  <c r="G140" i="4"/>
  <c r="F140" i="4"/>
  <c r="E140" i="4"/>
  <c r="D140" i="4"/>
  <c r="M140" i="4" s="1"/>
  <c r="C140" i="4"/>
  <c r="B140" i="4"/>
  <c r="N139" i="4"/>
  <c r="L139" i="4"/>
  <c r="K139" i="4"/>
  <c r="J139" i="4"/>
  <c r="I139" i="4"/>
  <c r="H139" i="4"/>
  <c r="G139" i="4"/>
  <c r="F139" i="4"/>
  <c r="E139" i="4"/>
  <c r="D139" i="4"/>
  <c r="M139" i="4" s="1"/>
  <c r="C139" i="4"/>
  <c r="B139" i="4"/>
  <c r="N138" i="4"/>
  <c r="L138" i="4"/>
  <c r="K138" i="4"/>
  <c r="J138" i="4"/>
  <c r="I138" i="4"/>
  <c r="H138" i="4"/>
  <c r="G138" i="4"/>
  <c r="F138" i="4"/>
  <c r="E138" i="4"/>
  <c r="D138" i="4"/>
  <c r="M138" i="4" s="1"/>
  <c r="C138" i="4"/>
  <c r="B138" i="4"/>
  <c r="N137" i="4"/>
  <c r="L137" i="4"/>
  <c r="K137" i="4"/>
  <c r="J137" i="4"/>
  <c r="I137" i="4"/>
  <c r="H137" i="4"/>
  <c r="G137" i="4"/>
  <c r="F137" i="4"/>
  <c r="E137" i="4"/>
  <c r="D137" i="4"/>
  <c r="M137" i="4" s="1"/>
  <c r="C137" i="4"/>
  <c r="B137" i="4"/>
  <c r="N136" i="4"/>
  <c r="L136" i="4"/>
  <c r="K136" i="4"/>
  <c r="J136" i="4"/>
  <c r="M136" i="4" s="1"/>
  <c r="I136" i="4"/>
  <c r="H136" i="4"/>
  <c r="G136" i="4"/>
  <c r="F136" i="4"/>
  <c r="E136" i="4"/>
  <c r="D136" i="4"/>
  <c r="C136" i="4"/>
  <c r="B136" i="4"/>
  <c r="N135" i="4"/>
  <c r="L135" i="4"/>
  <c r="K135" i="4"/>
  <c r="J135" i="4"/>
  <c r="M135" i="4" s="1"/>
  <c r="I135" i="4"/>
  <c r="H135" i="4"/>
  <c r="G135" i="4"/>
  <c r="F135" i="4"/>
  <c r="E135" i="4"/>
  <c r="D135" i="4"/>
  <c r="C135" i="4"/>
  <c r="B135" i="4"/>
  <c r="N134" i="4"/>
  <c r="L134" i="4"/>
  <c r="K134" i="4"/>
  <c r="J134" i="4"/>
  <c r="M134" i="4" s="1"/>
  <c r="I134" i="4"/>
  <c r="H134" i="4"/>
  <c r="G134" i="4"/>
  <c r="F134" i="4"/>
  <c r="E134" i="4"/>
  <c r="D134" i="4"/>
  <c r="C134" i="4"/>
  <c r="B134" i="4"/>
  <c r="N133" i="4"/>
  <c r="L133" i="4"/>
  <c r="K133" i="4"/>
  <c r="J133" i="4"/>
  <c r="M133" i="4" s="1"/>
  <c r="I133" i="4"/>
  <c r="H133" i="4"/>
  <c r="G133" i="4"/>
  <c r="F133" i="4"/>
  <c r="E133" i="4"/>
  <c r="D133" i="4"/>
  <c r="C133" i="4"/>
  <c r="B133" i="4"/>
  <c r="N132" i="4"/>
  <c r="L132" i="4"/>
  <c r="K132" i="4"/>
  <c r="J132" i="4"/>
  <c r="M132" i="4" s="1"/>
  <c r="I132" i="4"/>
  <c r="H132" i="4"/>
  <c r="G132" i="4"/>
  <c r="F132" i="4"/>
  <c r="E132" i="4"/>
  <c r="D132" i="4"/>
  <c r="C132" i="4"/>
  <c r="B132" i="4"/>
  <c r="N131" i="4"/>
  <c r="L131" i="4"/>
  <c r="K131" i="4"/>
  <c r="J131" i="4"/>
  <c r="M131" i="4" s="1"/>
  <c r="I131" i="4"/>
  <c r="H131" i="4"/>
  <c r="G131" i="4"/>
  <c r="F131" i="4"/>
  <c r="E131" i="4"/>
  <c r="D131" i="4"/>
  <c r="C131" i="4"/>
  <c r="B131" i="4"/>
  <c r="N130" i="4"/>
  <c r="M130" i="4"/>
  <c r="L130" i="4"/>
  <c r="K130" i="4"/>
  <c r="J130" i="4"/>
  <c r="I130" i="4"/>
  <c r="H130" i="4"/>
  <c r="G130" i="4"/>
  <c r="F130" i="4"/>
  <c r="E130" i="4"/>
  <c r="D130" i="4"/>
  <c r="C130" i="4"/>
  <c r="B130" i="4"/>
  <c r="N129" i="4"/>
  <c r="M129" i="4"/>
  <c r="L129" i="4"/>
  <c r="K129" i="4"/>
  <c r="J129" i="4"/>
  <c r="I129" i="4"/>
  <c r="H129" i="4"/>
  <c r="G129" i="4"/>
  <c r="F129" i="4"/>
  <c r="E129" i="4"/>
  <c r="D129" i="4"/>
  <c r="C129" i="4"/>
  <c r="B129" i="4"/>
  <c r="N128" i="4"/>
  <c r="M128" i="4"/>
  <c r="L128" i="4"/>
  <c r="K128" i="4"/>
  <c r="J128" i="4"/>
  <c r="I128" i="4"/>
  <c r="H128" i="4"/>
  <c r="G128" i="4"/>
  <c r="F128" i="4"/>
  <c r="E128" i="4"/>
  <c r="D128" i="4"/>
  <c r="C128" i="4"/>
  <c r="B128" i="4"/>
  <c r="N127" i="4"/>
  <c r="L127" i="4"/>
  <c r="K127" i="4"/>
  <c r="J127" i="4"/>
  <c r="I127" i="4"/>
  <c r="H127" i="4"/>
  <c r="G127" i="4"/>
  <c r="F127" i="4"/>
  <c r="E127" i="4"/>
  <c r="D127" i="4"/>
  <c r="M127" i="4" s="1"/>
  <c r="C127" i="4"/>
  <c r="B127" i="4"/>
  <c r="N126" i="4"/>
  <c r="L126" i="4"/>
  <c r="K126" i="4"/>
  <c r="J126" i="4"/>
  <c r="I126" i="4"/>
  <c r="H126" i="4"/>
  <c r="G126" i="4"/>
  <c r="F126" i="4"/>
  <c r="E126" i="4"/>
  <c r="D126" i="4"/>
  <c r="M126" i="4" s="1"/>
  <c r="C126" i="4"/>
  <c r="B126" i="4"/>
  <c r="N125" i="4"/>
  <c r="L125" i="4"/>
  <c r="K125" i="4"/>
  <c r="J125" i="4"/>
  <c r="I125" i="4"/>
  <c r="H125" i="4"/>
  <c r="G125" i="4"/>
  <c r="F125" i="4"/>
  <c r="E125" i="4"/>
  <c r="D125" i="4"/>
  <c r="M125" i="4" s="1"/>
  <c r="C125" i="4"/>
  <c r="B125" i="4"/>
  <c r="N124" i="4"/>
  <c r="L124" i="4"/>
  <c r="K124" i="4"/>
  <c r="J124" i="4"/>
  <c r="M124" i="4" s="1"/>
  <c r="I124" i="4"/>
  <c r="H124" i="4"/>
  <c r="G124" i="4"/>
  <c r="F124" i="4"/>
  <c r="E124" i="4"/>
  <c r="D124" i="4"/>
  <c r="C124" i="4"/>
  <c r="B124" i="4"/>
  <c r="N123" i="4"/>
  <c r="L123" i="4"/>
  <c r="K123" i="4"/>
  <c r="J123" i="4"/>
  <c r="M123" i="4" s="1"/>
  <c r="I123" i="4"/>
  <c r="H123" i="4"/>
  <c r="G123" i="4"/>
  <c r="F123" i="4"/>
  <c r="E123" i="4"/>
  <c r="D123" i="4"/>
  <c r="C123" i="4"/>
  <c r="B123" i="4"/>
  <c r="N122" i="4"/>
  <c r="L122" i="4"/>
  <c r="K122" i="4"/>
  <c r="J122" i="4"/>
  <c r="M122" i="4" s="1"/>
  <c r="I122" i="4"/>
  <c r="H122" i="4"/>
  <c r="G122" i="4"/>
  <c r="F122" i="4"/>
  <c r="E122" i="4"/>
  <c r="D122" i="4"/>
  <c r="C122" i="4"/>
  <c r="B122" i="4"/>
  <c r="N121" i="4"/>
  <c r="L121" i="4"/>
  <c r="K121" i="4"/>
  <c r="J121" i="4"/>
  <c r="M121" i="4" s="1"/>
  <c r="I121" i="4"/>
  <c r="H121" i="4"/>
  <c r="G121" i="4"/>
  <c r="F121" i="4"/>
  <c r="E121" i="4"/>
  <c r="D121" i="4"/>
  <c r="C121" i="4"/>
  <c r="B121" i="4"/>
  <c r="N120" i="4"/>
  <c r="L120" i="4"/>
  <c r="K120" i="4"/>
  <c r="J120" i="4"/>
  <c r="M120" i="4" s="1"/>
  <c r="I120" i="4"/>
  <c r="H120" i="4"/>
  <c r="G120" i="4"/>
  <c r="F120" i="4"/>
  <c r="E120" i="4"/>
  <c r="D120" i="4"/>
  <c r="C120" i="4"/>
  <c r="B120" i="4"/>
  <c r="N119" i="4"/>
  <c r="L119" i="4"/>
  <c r="K119" i="4"/>
  <c r="J119" i="4"/>
  <c r="M119" i="4" s="1"/>
  <c r="I119" i="4"/>
  <c r="H119" i="4"/>
  <c r="G119" i="4"/>
  <c r="F119" i="4"/>
  <c r="E119" i="4"/>
  <c r="D119" i="4"/>
  <c r="C119" i="4"/>
  <c r="B119" i="4"/>
  <c r="N118" i="4"/>
  <c r="M118" i="4"/>
  <c r="L118" i="4"/>
  <c r="K118" i="4"/>
  <c r="J118" i="4"/>
  <c r="I118" i="4"/>
  <c r="H118" i="4"/>
  <c r="G118" i="4"/>
  <c r="F118" i="4"/>
  <c r="E118" i="4"/>
  <c r="D118" i="4"/>
  <c r="C118" i="4"/>
  <c r="B118" i="4"/>
  <c r="N117" i="4"/>
  <c r="M117" i="4"/>
  <c r="L117" i="4"/>
  <c r="K117" i="4"/>
  <c r="J117" i="4"/>
  <c r="I117" i="4"/>
  <c r="H117" i="4"/>
  <c r="G117" i="4"/>
  <c r="F117" i="4"/>
  <c r="E117" i="4"/>
  <c r="D117" i="4"/>
  <c r="C117" i="4"/>
  <c r="B117" i="4"/>
  <c r="N116" i="4"/>
  <c r="M116" i="4"/>
  <c r="L116" i="4"/>
  <c r="K116" i="4"/>
  <c r="J116" i="4"/>
  <c r="I116" i="4"/>
  <c r="H116" i="4"/>
  <c r="G116" i="4"/>
  <c r="F116" i="4"/>
  <c r="E116" i="4"/>
  <c r="D116" i="4"/>
  <c r="C116" i="4"/>
  <c r="B116" i="4"/>
  <c r="N115" i="4"/>
  <c r="L115" i="4"/>
  <c r="K115" i="4"/>
  <c r="J115" i="4"/>
  <c r="I115" i="4"/>
  <c r="H115" i="4"/>
  <c r="G115" i="4"/>
  <c r="F115" i="4"/>
  <c r="E115" i="4"/>
  <c r="D115" i="4"/>
  <c r="M115" i="4" s="1"/>
  <c r="C115" i="4"/>
  <c r="B115" i="4"/>
  <c r="N114" i="4"/>
  <c r="L114" i="4"/>
  <c r="K114" i="4"/>
  <c r="J114" i="4"/>
  <c r="I114" i="4"/>
  <c r="H114" i="4"/>
  <c r="G114" i="4"/>
  <c r="F114" i="4"/>
  <c r="E114" i="4"/>
  <c r="D114" i="4"/>
  <c r="M114" i="4" s="1"/>
  <c r="C114" i="4"/>
  <c r="B114" i="4"/>
  <c r="N113" i="4"/>
  <c r="L113" i="4"/>
  <c r="K113" i="4"/>
  <c r="J113" i="4"/>
  <c r="I113" i="4"/>
  <c r="H113" i="4"/>
  <c r="G113" i="4"/>
  <c r="F113" i="4"/>
  <c r="E113" i="4"/>
  <c r="D113" i="4"/>
  <c r="M113" i="4" s="1"/>
  <c r="C113" i="4"/>
  <c r="B113" i="4"/>
  <c r="N112" i="4"/>
  <c r="L112" i="4"/>
  <c r="K112" i="4"/>
  <c r="J112" i="4"/>
  <c r="M112" i="4" s="1"/>
  <c r="I112" i="4"/>
  <c r="H112" i="4"/>
  <c r="G112" i="4"/>
  <c r="F112" i="4"/>
  <c r="E112" i="4"/>
  <c r="D112" i="4"/>
  <c r="C112" i="4"/>
  <c r="B112" i="4"/>
  <c r="N111" i="4"/>
  <c r="L111" i="4"/>
  <c r="K111" i="4"/>
  <c r="J111" i="4"/>
  <c r="M111" i="4" s="1"/>
  <c r="I111" i="4"/>
  <c r="H111" i="4"/>
  <c r="G111" i="4"/>
  <c r="F111" i="4"/>
  <c r="E111" i="4"/>
  <c r="D111" i="4"/>
  <c r="C111" i="4"/>
  <c r="B111" i="4"/>
  <c r="N110" i="4"/>
  <c r="L110" i="4"/>
  <c r="K110" i="4"/>
  <c r="J110" i="4"/>
  <c r="M110" i="4" s="1"/>
  <c r="I110" i="4"/>
  <c r="H110" i="4"/>
  <c r="G110" i="4"/>
  <c r="F110" i="4"/>
  <c r="E110" i="4"/>
  <c r="D110" i="4"/>
  <c r="C110" i="4"/>
  <c r="B110" i="4"/>
  <c r="N109" i="4"/>
  <c r="L109" i="4"/>
  <c r="K109" i="4"/>
  <c r="J109" i="4"/>
  <c r="M109" i="4" s="1"/>
  <c r="I109" i="4"/>
  <c r="H109" i="4"/>
  <c r="G109" i="4"/>
  <c r="F109" i="4"/>
  <c r="E109" i="4"/>
  <c r="D109" i="4"/>
  <c r="C109" i="4"/>
  <c r="B109" i="4"/>
  <c r="N108" i="4"/>
  <c r="L108" i="4"/>
  <c r="K108" i="4"/>
  <c r="J108" i="4"/>
  <c r="M108" i="4" s="1"/>
  <c r="I108" i="4"/>
  <c r="H108" i="4"/>
  <c r="G108" i="4"/>
  <c r="F108" i="4"/>
  <c r="E108" i="4"/>
  <c r="D108" i="4"/>
  <c r="C108" i="4"/>
  <c r="B108" i="4"/>
  <c r="N107" i="4"/>
  <c r="L107" i="4"/>
  <c r="K107" i="4"/>
  <c r="J107" i="4"/>
  <c r="M107" i="4" s="1"/>
  <c r="I107" i="4"/>
  <c r="H107" i="4"/>
  <c r="G107" i="4"/>
  <c r="F107" i="4"/>
  <c r="E107" i="4"/>
  <c r="D107" i="4"/>
  <c r="C107" i="4"/>
  <c r="B107" i="4"/>
  <c r="N106" i="4"/>
  <c r="M106" i="4"/>
  <c r="L106" i="4"/>
  <c r="K106" i="4"/>
  <c r="J106" i="4"/>
  <c r="I106" i="4"/>
  <c r="H106" i="4"/>
  <c r="G106" i="4"/>
  <c r="F106" i="4"/>
  <c r="E106" i="4"/>
  <c r="D106" i="4"/>
  <c r="C106" i="4"/>
  <c r="B106" i="4"/>
  <c r="N105" i="4"/>
  <c r="M105" i="4"/>
  <c r="L105" i="4"/>
  <c r="K105" i="4"/>
  <c r="J105" i="4"/>
  <c r="I105" i="4"/>
  <c r="H105" i="4"/>
  <c r="G105" i="4"/>
  <c r="F105" i="4"/>
  <c r="E105" i="4"/>
  <c r="D105" i="4"/>
  <c r="C105" i="4"/>
  <c r="B105" i="4"/>
  <c r="N104" i="4"/>
  <c r="M104" i="4"/>
  <c r="L104" i="4"/>
  <c r="K104" i="4"/>
  <c r="J104" i="4"/>
  <c r="I104" i="4"/>
  <c r="H104" i="4"/>
  <c r="G104" i="4"/>
  <c r="F104" i="4"/>
  <c r="E104" i="4"/>
  <c r="D104" i="4"/>
  <c r="C104" i="4"/>
  <c r="B104" i="4"/>
  <c r="N103" i="4"/>
  <c r="L103" i="4"/>
  <c r="K103" i="4"/>
  <c r="J103" i="4"/>
  <c r="I103" i="4"/>
  <c r="H103" i="4"/>
  <c r="G103" i="4"/>
  <c r="F103" i="4"/>
  <c r="E103" i="4"/>
  <c r="D103" i="4"/>
  <c r="M103" i="4" s="1"/>
  <c r="C103" i="4"/>
  <c r="B103" i="4"/>
  <c r="N102" i="4"/>
  <c r="L102" i="4"/>
  <c r="K102" i="4"/>
  <c r="J102" i="4"/>
  <c r="I102" i="4"/>
  <c r="H102" i="4"/>
  <c r="G102" i="4"/>
  <c r="F102" i="4"/>
  <c r="E102" i="4"/>
  <c r="D102" i="4"/>
  <c r="M102" i="4" s="1"/>
  <c r="C102" i="4"/>
  <c r="B102" i="4"/>
  <c r="N101" i="4"/>
  <c r="L101" i="4"/>
  <c r="K101" i="4"/>
  <c r="J101" i="4"/>
  <c r="I101" i="4"/>
  <c r="H101" i="4"/>
  <c r="G101" i="4"/>
  <c r="F101" i="4"/>
  <c r="E101" i="4"/>
  <c r="D101" i="4"/>
  <c r="M101" i="4" s="1"/>
  <c r="C101" i="4"/>
  <c r="B101" i="4"/>
  <c r="N100" i="4"/>
  <c r="L100" i="4"/>
  <c r="K100" i="4"/>
  <c r="J100" i="4"/>
  <c r="M100" i="4" s="1"/>
  <c r="I100" i="4"/>
  <c r="H100" i="4"/>
  <c r="G100" i="4"/>
  <c r="F100" i="4"/>
  <c r="E100" i="4"/>
  <c r="D100" i="4"/>
  <c r="C100" i="4"/>
  <c r="B100" i="4"/>
  <c r="N99" i="4"/>
  <c r="L99" i="4"/>
  <c r="K99" i="4"/>
  <c r="J99" i="4"/>
  <c r="M99" i="4" s="1"/>
  <c r="I99" i="4"/>
  <c r="H99" i="4"/>
  <c r="G99" i="4"/>
  <c r="F99" i="4"/>
  <c r="E99" i="4"/>
  <c r="D99" i="4"/>
  <c r="C99" i="4"/>
  <c r="B99" i="4"/>
  <c r="N98" i="4"/>
  <c r="L98" i="4"/>
  <c r="K98" i="4"/>
  <c r="J98" i="4"/>
  <c r="M98" i="4" s="1"/>
  <c r="I98" i="4"/>
  <c r="H98" i="4"/>
  <c r="G98" i="4"/>
  <c r="F98" i="4"/>
  <c r="E98" i="4"/>
  <c r="D98" i="4"/>
  <c r="C98" i="4"/>
  <c r="B98" i="4"/>
  <c r="N97" i="4"/>
  <c r="L97" i="4"/>
  <c r="K97" i="4"/>
  <c r="J97" i="4"/>
  <c r="M97" i="4" s="1"/>
  <c r="I97" i="4"/>
  <c r="H97" i="4"/>
  <c r="G97" i="4"/>
  <c r="F97" i="4"/>
  <c r="E97" i="4"/>
  <c r="D97" i="4"/>
  <c r="C97" i="4"/>
  <c r="B97" i="4"/>
  <c r="N96" i="4"/>
  <c r="L96" i="4"/>
  <c r="K96" i="4"/>
  <c r="J96" i="4"/>
  <c r="M96" i="4" s="1"/>
  <c r="I96" i="4"/>
  <c r="H96" i="4"/>
  <c r="G96" i="4"/>
  <c r="F96" i="4"/>
  <c r="E96" i="4"/>
  <c r="D96" i="4"/>
  <c r="C96" i="4"/>
  <c r="B96" i="4"/>
  <c r="N95" i="4"/>
  <c r="L95" i="4"/>
  <c r="K95" i="4"/>
  <c r="J95" i="4"/>
  <c r="M95" i="4" s="1"/>
  <c r="I95" i="4"/>
  <c r="H95" i="4"/>
  <c r="G95" i="4"/>
  <c r="F95" i="4"/>
  <c r="E95" i="4"/>
  <c r="D95" i="4"/>
  <c r="C95" i="4"/>
  <c r="B95" i="4"/>
  <c r="N94" i="4"/>
  <c r="M94" i="4"/>
  <c r="L94" i="4"/>
  <c r="K94" i="4"/>
  <c r="J94" i="4"/>
  <c r="I94" i="4"/>
  <c r="H94" i="4"/>
  <c r="G94" i="4"/>
  <c r="F94" i="4"/>
  <c r="E94" i="4"/>
  <c r="D94" i="4"/>
  <c r="C94" i="4"/>
  <c r="B94" i="4"/>
  <c r="N93" i="4"/>
  <c r="M93" i="4"/>
  <c r="L93" i="4"/>
  <c r="K93" i="4"/>
  <c r="J93" i="4"/>
  <c r="I93" i="4"/>
  <c r="H93" i="4"/>
  <c r="G93" i="4"/>
  <c r="F93" i="4"/>
  <c r="E93" i="4"/>
  <c r="D93" i="4"/>
  <c r="C93" i="4"/>
  <c r="B93" i="4"/>
  <c r="N92" i="4"/>
  <c r="M92" i="4"/>
  <c r="L92" i="4"/>
  <c r="K92" i="4"/>
  <c r="J92" i="4"/>
  <c r="I92" i="4"/>
  <c r="H92" i="4"/>
  <c r="G92" i="4"/>
  <c r="F92" i="4"/>
  <c r="E92" i="4"/>
  <c r="D92" i="4"/>
  <c r="C92" i="4"/>
  <c r="B92" i="4"/>
  <c r="N91" i="4"/>
  <c r="L91" i="4"/>
  <c r="K91" i="4"/>
  <c r="J91" i="4"/>
  <c r="I91" i="4"/>
  <c r="H91" i="4"/>
  <c r="G91" i="4"/>
  <c r="F91" i="4"/>
  <c r="E91" i="4"/>
  <c r="D91" i="4"/>
  <c r="M91" i="4" s="1"/>
  <c r="C91" i="4"/>
  <c r="B91" i="4"/>
  <c r="N90" i="4"/>
  <c r="L90" i="4"/>
  <c r="K90" i="4"/>
  <c r="J90" i="4"/>
  <c r="I90" i="4"/>
  <c r="H90" i="4"/>
  <c r="G90" i="4"/>
  <c r="F90" i="4"/>
  <c r="E90" i="4"/>
  <c r="D90" i="4"/>
  <c r="M90" i="4" s="1"/>
  <c r="C90" i="4"/>
  <c r="B90" i="4"/>
  <c r="N89" i="4"/>
  <c r="L89" i="4"/>
  <c r="K89" i="4"/>
  <c r="J89" i="4"/>
  <c r="I89" i="4"/>
  <c r="H89" i="4"/>
  <c r="G89" i="4"/>
  <c r="F89" i="4"/>
  <c r="E89" i="4"/>
  <c r="D89" i="4"/>
  <c r="M89" i="4" s="1"/>
  <c r="C89" i="4"/>
  <c r="B89" i="4"/>
  <c r="N88" i="4"/>
  <c r="L88" i="4"/>
  <c r="K88" i="4"/>
  <c r="J88" i="4"/>
  <c r="M88" i="4" s="1"/>
  <c r="I88" i="4"/>
  <c r="H88" i="4"/>
  <c r="G88" i="4"/>
  <c r="F88" i="4"/>
  <c r="E88" i="4"/>
  <c r="D88" i="4"/>
  <c r="C88" i="4"/>
  <c r="B88" i="4"/>
  <c r="N87" i="4"/>
  <c r="L87" i="4"/>
  <c r="K87" i="4"/>
  <c r="J87" i="4"/>
  <c r="M87" i="4" s="1"/>
  <c r="I87" i="4"/>
  <c r="H87" i="4"/>
  <c r="G87" i="4"/>
  <c r="F87" i="4"/>
  <c r="E87" i="4"/>
  <c r="D87" i="4"/>
  <c r="C87" i="4"/>
  <c r="B87" i="4"/>
  <c r="N86" i="4"/>
  <c r="L86" i="4"/>
  <c r="K86" i="4"/>
  <c r="J86" i="4"/>
  <c r="M86" i="4" s="1"/>
  <c r="I86" i="4"/>
  <c r="H86" i="4"/>
  <c r="G86" i="4"/>
  <c r="F86" i="4"/>
  <c r="E86" i="4"/>
  <c r="D86" i="4"/>
  <c r="C86" i="4"/>
  <c r="B86" i="4"/>
  <c r="N85" i="4"/>
  <c r="L85" i="4"/>
  <c r="K85" i="4"/>
  <c r="J85" i="4"/>
  <c r="M85" i="4" s="1"/>
  <c r="I85" i="4"/>
  <c r="H85" i="4"/>
  <c r="G85" i="4"/>
  <c r="F85" i="4"/>
  <c r="E85" i="4"/>
  <c r="D85" i="4"/>
  <c r="C85" i="4"/>
  <c r="B85" i="4"/>
  <c r="N84" i="4"/>
  <c r="L84" i="4"/>
  <c r="K84" i="4"/>
  <c r="J84" i="4"/>
  <c r="M84" i="4" s="1"/>
  <c r="I84" i="4"/>
  <c r="H84" i="4"/>
  <c r="G84" i="4"/>
  <c r="F84" i="4"/>
  <c r="E84" i="4"/>
  <c r="D84" i="4"/>
  <c r="C84" i="4"/>
  <c r="B84" i="4"/>
  <c r="N83" i="4"/>
  <c r="L83" i="4"/>
  <c r="K83" i="4"/>
  <c r="J83" i="4"/>
  <c r="M83" i="4" s="1"/>
  <c r="I83" i="4"/>
  <c r="H83" i="4"/>
  <c r="G83" i="4"/>
  <c r="F83" i="4"/>
  <c r="E83" i="4"/>
  <c r="D83" i="4"/>
  <c r="C83" i="4"/>
  <c r="B83" i="4"/>
  <c r="N82" i="4"/>
  <c r="M82" i="4"/>
  <c r="L82" i="4"/>
  <c r="K82" i="4"/>
  <c r="J82" i="4"/>
  <c r="I82" i="4"/>
  <c r="H82" i="4"/>
  <c r="G82" i="4"/>
  <c r="F82" i="4"/>
  <c r="E82" i="4"/>
  <c r="D82" i="4"/>
  <c r="C82" i="4"/>
  <c r="B82" i="4"/>
  <c r="N81" i="4"/>
  <c r="M81" i="4"/>
  <c r="L81" i="4"/>
  <c r="K81" i="4"/>
  <c r="J81" i="4"/>
  <c r="I81" i="4"/>
  <c r="H81" i="4"/>
  <c r="G81" i="4"/>
  <c r="F81" i="4"/>
  <c r="E81" i="4"/>
  <c r="D81" i="4"/>
  <c r="C81" i="4"/>
  <c r="B81" i="4"/>
  <c r="N80" i="4"/>
  <c r="M80" i="4"/>
  <c r="L80" i="4"/>
  <c r="K80" i="4"/>
  <c r="J80" i="4"/>
  <c r="I80" i="4"/>
  <c r="H80" i="4"/>
  <c r="G80" i="4"/>
  <c r="F80" i="4"/>
  <c r="E80" i="4"/>
  <c r="D80" i="4"/>
  <c r="C80" i="4"/>
  <c r="B80" i="4"/>
  <c r="N79" i="4"/>
  <c r="L79" i="4"/>
  <c r="K79" i="4"/>
  <c r="J79" i="4"/>
  <c r="I79" i="4"/>
  <c r="H79" i="4"/>
  <c r="G79" i="4"/>
  <c r="F79" i="4"/>
  <c r="E79" i="4"/>
  <c r="D79" i="4"/>
  <c r="M79" i="4" s="1"/>
  <c r="C79" i="4"/>
  <c r="B79" i="4"/>
  <c r="N78" i="4"/>
  <c r="L78" i="4"/>
  <c r="K78" i="4"/>
  <c r="J78" i="4"/>
  <c r="I78" i="4"/>
  <c r="H78" i="4"/>
  <c r="G78" i="4"/>
  <c r="F78" i="4"/>
  <c r="E78" i="4"/>
  <c r="D78" i="4"/>
  <c r="M78" i="4" s="1"/>
  <c r="C78" i="4"/>
  <c r="B78" i="4"/>
  <c r="N77" i="4"/>
  <c r="L77" i="4"/>
  <c r="K77" i="4"/>
  <c r="J77" i="4"/>
  <c r="I77" i="4"/>
  <c r="H77" i="4"/>
  <c r="G77" i="4"/>
  <c r="F77" i="4"/>
  <c r="E77" i="4"/>
  <c r="D77" i="4"/>
  <c r="M77" i="4" s="1"/>
  <c r="C77" i="4"/>
  <c r="B77" i="4"/>
  <c r="N76" i="4"/>
  <c r="L76" i="4"/>
  <c r="K76" i="4"/>
  <c r="J76" i="4"/>
  <c r="M76" i="4" s="1"/>
  <c r="I76" i="4"/>
  <c r="H76" i="4"/>
  <c r="G76" i="4"/>
  <c r="F76" i="4"/>
  <c r="E76" i="4"/>
  <c r="D76" i="4"/>
  <c r="C76" i="4"/>
  <c r="B76" i="4"/>
  <c r="N75" i="4"/>
  <c r="L75" i="4"/>
  <c r="K75" i="4"/>
  <c r="J75" i="4"/>
  <c r="M75" i="4" s="1"/>
  <c r="I75" i="4"/>
  <c r="H75" i="4"/>
  <c r="G75" i="4"/>
  <c r="F75" i="4"/>
  <c r="E75" i="4"/>
  <c r="D75" i="4"/>
  <c r="C75" i="4"/>
  <c r="B75" i="4"/>
  <c r="N74" i="4"/>
  <c r="L74" i="4"/>
  <c r="K74" i="4"/>
  <c r="J74" i="4"/>
  <c r="M74" i="4" s="1"/>
  <c r="I74" i="4"/>
  <c r="H74" i="4"/>
  <c r="G74" i="4"/>
  <c r="F74" i="4"/>
  <c r="E74" i="4"/>
  <c r="D74" i="4"/>
  <c r="C74" i="4"/>
  <c r="B74" i="4"/>
  <c r="N73" i="4"/>
  <c r="L73" i="4"/>
  <c r="K73" i="4"/>
  <c r="J73" i="4"/>
  <c r="M73" i="4" s="1"/>
  <c r="I73" i="4"/>
  <c r="H73" i="4"/>
  <c r="G73" i="4"/>
  <c r="F73" i="4"/>
  <c r="E73" i="4"/>
  <c r="D73" i="4"/>
  <c r="C73" i="4"/>
  <c r="B73" i="4"/>
  <c r="N72" i="4"/>
  <c r="L72" i="4"/>
  <c r="K72" i="4"/>
  <c r="J72" i="4"/>
  <c r="M72" i="4" s="1"/>
  <c r="I72" i="4"/>
  <c r="H72" i="4"/>
  <c r="G72" i="4"/>
  <c r="F72" i="4"/>
  <c r="E72" i="4"/>
  <c r="D72" i="4"/>
  <c r="C72" i="4"/>
  <c r="B72" i="4"/>
  <c r="N71" i="4"/>
  <c r="L71" i="4"/>
  <c r="K71" i="4"/>
  <c r="J71" i="4"/>
  <c r="M71" i="4" s="1"/>
  <c r="I71" i="4"/>
  <c r="H71" i="4"/>
  <c r="G71" i="4"/>
  <c r="F71" i="4"/>
  <c r="E71" i="4"/>
  <c r="D71" i="4"/>
  <c r="C71" i="4"/>
  <c r="B71" i="4"/>
  <c r="N70" i="4"/>
  <c r="M70" i="4"/>
  <c r="L70" i="4"/>
  <c r="K70" i="4"/>
  <c r="J70" i="4"/>
  <c r="I70" i="4"/>
  <c r="H70" i="4"/>
  <c r="G70" i="4"/>
  <c r="F70" i="4"/>
  <c r="E70" i="4"/>
  <c r="D70" i="4"/>
  <c r="C70" i="4"/>
  <c r="B70" i="4"/>
  <c r="N69" i="4"/>
  <c r="M69" i="4"/>
  <c r="L69" i="4"/>
  <c r="K69" i="4"/>
  <c r="J69" i="4"/>
  <c r="I69" i="4"/>
  <c r="H69" i="4"/>
  <c r="G69" i="4"/>
  <c r="F69" i="4"/>
  <c r="E69" i="4"/>
  <c r="D69" i="4"/>
  <c r="C69" i="4"/>
  <c r="B69" i="4"/>
  <c r="N68" i="4"/>
  <c r="M68" i="4"/>
  <c r="L68" i="4"/>
  <c r="K68" i="4"/>
  <c r="J68" i="4"/>
  <c r="I68" i="4"/>
  <c r="H68" i="4"/>
  <c r="G68" i="4"/>
  <c r="F68" i="4"/>
  <c r="E68" i="4"/>
  <c r="D68" i="4"/>
  <c r="C68" i="4"/>
  <c r="B68" i="4"/>
  <c r="N67" i="4"/>
  <c r="L67" i="4"/>
  <c r="K67" i="4"/>
  <c r="J67" i="4"/>
  <c r="I67" i="4"/>
  <c r="H67" i="4"/>
  <c r="G67" i="4"/>
  <c r="F67" i="4"/>
  <c r="E67" i="4"/>
  <c r="D67" i="4"/>
  <c r="M67" i="4" s="1"/>
  <c r="C67" i="4"/>
  <c r="B67" i="4"/>
  <c r="N66" i="4"/>
  <c r="L66" i="4"/>
  <c r="K66" i="4"/>
  <c r="J66" i="4"/>
  <c r="I66" i="4"/>
  <c r="H66" i="4"/>
  <c r="G66" i="4"/>
  <c r="F66" i="4"/>
  <c r="E66" i="4"/>
  <c r="D66" i="4"/>
  <c r="M66" i="4" s="1"/>
  <c r="C66" i="4"/>
  <c r="B66" i="4"/>
  <c r="N65" i="4"/>
  <c r="L65" i="4"/>
  <c r="K65" i="4"/>
  <c r="J65" i="4"/>
  <c r="I65" i="4"/>
  <c r="H65" i="4"/>
  <c r="G65" i="4"/>
  <c r="F65" i="4"/>
  <c r="E65" i="4"/>
  <c r="D65" i="4"/>
  <c r="M65" i="4" s="1"/>
  <c r="C65" i="4"/>
  <c r="B65" i="4"/>
  <c r="N64" i="4"/>
  <c r="L64" i="4"/>
  <c r="K64" i="4"/>
  <c r="J64" i="4"/>
  <c r="M64" i="4" s="1"/>
  <c r="I64" i="4"/>
  <c r="H64" i="4"/>
  <c r="G64" i="4"/>
  <c r="F64" i="4"/>
  <c r="E64" i="4"/>
  <c r="D64" i="4"/>
  <c r="C64" i="4"/>
  <c r="B64" i="4"/>
  <c r="N63" i="4"/>
  <c r="L63" i="4"/>
  <c r="K63" i="4"/>
  <c r="J63" i="4"/>
  <c r="M63" i="4" s="1"/>
  <c r="I63" i="4"/>
  <c r="H63" i="4"/>
  <c r="G63" i="4"/>
  <c r="F63" i="4"/>
  <c r="E63" i="4"/>
  <c r="D63" i="4"/>
  <c r="C63" i="4"/>
  <c r="B63" i="4"/>
  <c r="N62" i="4"/>
  <c r="L62" i="4"/>
  <c r="K62" i="4"/>
  <c r="J62" i="4"/>
  <c r="M62" i="4" s="1"/>
  <c r="I62" i="4"/>
  <c r="H62" i="4"/>
  <c r="G62" i="4"/>
  <c r="F62" i="4"/>
  <c r="E62" i="4"/>
  <c r="D62" i="4"/>
  <c r="C62" i="4"/>
  <c r="B62" i="4"/>
  <c r="N61" i="4"/>
  <c r="L61" i="4"/>
  <c r="K61" i="4"/>
  <c r="J61" i="4"/>
  <c r="M61" i="4" s="1"/>
  <c r="I61" i="4"/>
  <c r="H61" i="4"/>
  <c r="G61" i="4"/>
  <c r="F61" i="4"/>
  <c r="E61" i="4"/>
  <c r="D61" i="4"/>
  <c r="C61" i="4"/>
  <c r="B61" i="4"/>
  <c r="N60" i="4"/>
  <c r="L60" i="4"/>
  <c r="K60" i="4"/>
  <c r="J60" i="4"/>
  <c r="M60" i="4" s="1"/>
  <c r="I60" i="4"/>
  <c r="H60" i="4"/>
  <c r="G60" i="4"/>
  <c r="F60" i="4"/>
  <c r="E60" i="4"/>
  <c r="D60" i="4"/>
  <c r="C60" i="4"/>
  <c r="B60" i="4"/>
  <c r="N59" i="4"/>
  <c r="L59" i="4"/>
  <c r="K59" i="4"/>
  <c r="J59" i="4"/>
  <c r="M59" i="4" s="1"/>
  <c r="I59" i="4"/>
  <c r="H59" i="4"/>
  <c r="G59" i="4"/>
  <c r="F59" i="4"/>
  <c r="E59" i="4"/>
  <c r="D59" i="4"/>
  <c r="C59" i="4"/>
  <c r="B59" i="4"/>
  <c r="N58" i="4"/>
  <c r="M58" i="4"/>
  <c r="L58" i="4"/>
  <c r="K58" i="4"/>
  <c r="J58" i="4"/>
  <c r="I58" i="4"/>
  <c r="H58" i="4"/>
  <c r="G58" i="4"/>
  <c r="F58" i="4"/>
  <c r="E58" i="4"/>
  <c r="D58" i="4"/>
  <c r="C58" i="4"/>
  <c r="B58" i="4"/>
  <c r="N57" i="4"/>
  <c r="M57" i="4"/>
  <c r="L57" i="4"/>
  <c r="K57" i="4"/>
  <c r="J57" i="4"/>
  <c r="I57" i="4"/>
  <c r="H57" i="4"/>
  <c r="G57" i="4"/>
  <c r="F57" i="4"/>
  <c r="E57" i="4"/>
  <c r="D57" i="4"/>
  <c r="C57" i="4"/>
  <c r="B57" i="4"/>
  <c r="N56" i="4"/>
  <c r="M56" i="4"/>
  <c r="L56" i="4"/>
  <c r="K56" i="4"/>
  <c r="J56" i="4"/>
  <c r="I56" i="4"/>
  <c r="H56" i="4"/>
  <c r="G56" i="4"/>
  <c r="F56" i="4"/>
  <c r="E56" i="4"/>
  <c r="D56" i="4"/>
  <c r="C56" i="4"/>
  <c r="B56" i="4"/>
  <c r="N55" i="4"/>
  <c r="L55" i="4"/>
  <c r="K55" i="4"/>
  <c r="J55" i="4"/>
  <c r="I55" i="4"/>
  <c r="H55" i="4"/>
  <c r="G55" i="4"/>
  <c r="F55" i="4"/>
  <c r="E55" i="4"/>
  <c r="D55" i="4"/>
  <c r="M55" i="4" s="1"/>
  <c r="C55" i="4"/>
  <c r="B55" i="4"/>
  <c r="N54" i="4"/>
  <c r="L54" i="4"/>
  <c r="K54" i="4"/>
  <c r="J54" i="4"/>
  <c r="I54" i="4"/>
  <c r="H54" i="4"/>
  <c r="G54" i="4"/>
  <c r="F54" i="4"/>
  <c r="E54" i="4"/>
  <c r="D54" i="4"/>
  <c r="M54" i="4" s="1"/>
  <c r="C54" i="4"/>
  <c r="B54" i="4"/>
  <c r="N53" i="4"/>
  <c r="L53" i="4"/>
  <c r="K53" i="4"/>
  <c r="J53" i="4"/>
  <c r="I53" i="4"/>
  <c r="H53" i="4"/>
  <c r="G53" i="4"/>
  <c r="F53" i="4"/>
  <c r="E53" i="4"/>
  <c r="D53" i="4"/>
  <c r="M53" i="4" s="1"/>
  <c r="C53" i="4"/>
  <c r="B53" i="4"/>
  <c r="N52" i="4"/>
  <c r="L52" i="4"/>
  <c r="K52" i="4"/>
  <c r="J52" i="4"/>
  <c r="M52" i="4" s="1"/>
  <c r="I52" i="4"/>
  <c r="H52" i="4"/>
  <c r="G52" i="4"/>
  <c r="F52" i="4"/>
  <c r="E52" i="4"/>
  <c r="D52" i="4"/>
  <c r="C52" i="4"/>
  <c r="B52" i="4"/>
  <c r="N51" i="4"/>
  <c r="L51" i="4"/>
  <c r="K51" i="4"/>
  <c r="J51" i="4"/>
  <c r="M51" i="4" s="1"/>
  <c r="I51" i="4"/>
  <c r="H51" i="4"/>
  <c r="G51" i="4"/>
  <c r="F51" i="4"/>
  <c r="E51" i="4"/>
  <c r="D51" i="4"/>
  <c r="C51" i="4"/>
  <c r="B51" i="4"/>
  <c r="N50" i="4"/>
  <c r="L50" i="4"/>
  <c r="K50" i="4"/>
  <c r="J50" i="4"/>
  <c r="M50" i="4" s="1"/>
  <c r="I50" i="4"/>
  <c r="H50" i="4"/>
  <c r="G50" i="4"/>
  <c r="F50" i="4"/>
  <c r="E50" i="4"/>
  <c r="D50" i="4"/>
  <c r="C50" i="4"/>
  <c r="B50" i="4"/>
  <c r="N49" i="4"/>
  <c r="L49" i="4"/>
  <c r="K49" i="4"/>
  <c r="J49" i="4"/>
  <c r="M49" i="4" s="1"/>
  <c r="I49" i="4"/>
  <c r="H49" i="4"/>
  <c r="G49" i="4"/>
  <c r="F49" i="4"/>
  <c r="E49" i="4"/>
  <c r="D49" i="4"/>
  <c r="C49" i="4"/>
  <c r="B49" i="4"/>
  <c r="N48" i="4"/>
  <c r="L48" i="4"/>
  <c r="K48" i="4"/>
  <c r="J48" i="4"/>
  <c r="M48" i="4" s="1"/>
  <c r="I48" i="4"/>
  <c r="H48" i="4"/>
  <c r="G48" i="4"/>
  <c r="F48" i="4"/>
  <c r="E48" i="4"/>
  <c r="D48" i="4"/>
  <c r="C48" i="4"/>
  <c r="B48" i="4"/>
  <c r="N47" i="4"/>
  <c r="L47" i="4"/>
  <c r="K47" i="4"/>
  <c r="J47" i="4"/>
  <c r="M47" i="4" s="1"/>
  <c r="I47" i="4"/>
  <c r="H47" i="4"/>
  <c r="G47" i="4"/>
  <c r="F47" i="4"/>
  <c r="E47" i="4"/>
  <c r="D47" i="4"/>
  <c r="C47" i="4"/>
  <c r="B47" i="4"/>
  <c r="N46" i="4"/>
  <c r="M46" i="4"/>
  <c r="L46" i="4"/>
  <c r="K46" i="4"/>
  <c r="J46" i="4"/>
  <c r="I46" i="4"/>
  <c r="H46" i="4"/>
  <c r="G46" i="4"/>
  <c r="F46" i="4"/>
  <c r="E46" i="4"/>
  <c r="D46" i="4"/>
  <c r="C46" i="4"/>
  <c r="B46" i="4"/>
  <c r="N45" i="4"/>
  <c r="M45" i="4"/>
  <c r="L45" i="4"/>
  <c r="K45" i="4"/>
  <c r="J45" i="4"/>
  <c r="I45" i="4"/>
  <c r="H45" i="4"/>
  <c r="G45" i="4"/>
  <c r="F45" i="4"/>
  <c r="E45" i="4"/>
  <c r="D45" i="4"/>
  <c r="C45" i="4"/>
  <c r="B45" i="4"/>
  <c r="N44" i="4"/>
  <c r="M44" i="4"/>
  <c r="L44" i="4"/>
  <c r="K44" i="4"/>
  <c r="J44" i="4"/>
  <c r="I44" i="4"/>
  <c r="H44" i="4"/>
  <c r="G44" i="4"/>
  <c r="F44" i="4"/>
  <c r="E44" i="4"/>
  <c r="D44" i="4"/>
  <c r="C44" i="4"/>
  <c r="B44" i="4"/>
  <c r="N43" i="4"/>
  <c r="L43" i="4"/>
  <c r="K43" i="4"/>
  <c r="J43" i="4"/>
  <c r="I43" i="4"/>
  <c r="H43" i="4"/>
  <c r="G43" i="4"/>
  <c r="F43" i="4"/>
  <c r="E43" i="4"/>
  <c r="D43" i="4"/>
  <c r="M43" i="4" s="1"/>
  <c r="C43" i="4"/>
  <c r="B43" i="4"/>
  <c r="N42" i="4"/>
  <c r="L42" i="4"/>
  <c r="K42" i="4"/>
  <c r="J42" i="4"/>
  <c r="I42" i="4"/>
  <c r="H42" i="4"/>
  <c r="G42" i="4"/>
  <c r="F42" i="4"/>
  <c r="E42" i="4"/>
  <c r="D42" i="4"/>
  <c r="M42" i="4" s="1"/>
  <c r="C42" i="4"/>
  <c r="B42" i="4"/>
  <c r="N41" i="4"/>
  <c r="L41" i="4"/>
  <c r="K41" i="4"/>
  <c r="J41" i="4"/>
  <c r="I41" i="4"/>
  <c r="H41" i="4"/>
  <c r="G41" i="4"/>
  <c r="F41" i="4"/>
  <c r="E41" i="4"/>
  <c r="D41" i="4"/>
  <c r="M41" i="4" s="1"/>
  <c r="C41" i="4"/>
  <c r="B41" i="4"/>
  <c r="N40" i="4"/>
  <c r="L40" i="4"/>
  <c r="K40" i="4"/>
  <c r="J40" i="4"/>
  <c r="M40" i="4" s="1"/>
  <c r="I40" i="4"/>
  <c r="H40" i="4"/>
  <c r="G40" i="4"/>
  <c r="F40" i="4"/>
  <c r="E40" i="4"/>
  <c r="D40" i="4"/>
  <c r="C40" i="4"/>
  <c r="B40" i="4"/>
  <c r="N39" i="4"/>
  <c r="L39" i="4"/>
  <c r="K39" i="4"/>
  <c r="J39" i="4"/>
  <c r="M39" i="4" s="1"/>
  <c r="I39" i="4"/>
  <c r="H39" i="4"/>
  <c r="G39" i="4"/>
  <c r="F39" i="4"/>
  <c r="E39" i="4"/>
  <c r="D39" i="4"/>
  <c r="C39" i="4"/>
  <c r="B39" i="4"/>
  <c r="N38" i="4"/>
  <c r="L38" i="4"/>
  <c r="K38" i="4"/>
  <c r="J38" i="4"/>
  <c r="M38" i="4" s="1"/>
  <c r="I38" i="4"/>
  <c r="H38" i="4"/>
  <c r="G38" i="4"/>
  <c r="F38" i="4"/>
  <c r="E38" i="4"/>
  <c r="D38" i="4"/>
  <c r="C38" i="4"/>
  <c r="B38" i="4"/>
  <c r="N37" i="4"/>
  <c r="L37" i="4"/>
  <c r="K37" i="4"/>
  <c r="J37" i="4"/>
  <c r="M37" i="4" s="1"/>
  <c r="I37" i="4"/>
  <c r="H37" i="4"/>
  <c r="G37" i="4"/>
  <c r="F37" i="4"/>
  <c r="E37" i="4"/>
  <c r="D37" i="4"/>
  <c r="C37" i="4"/>
  <c r="B37" i="4"/>
  <c r="N36" i="4"/>
  <c r="L36" i="4"/>
  <c r="K36" i="4"/>
  <c r="J36" i="4"/>
  <c r="M36" i="4" s="1"/>
  <c r="I36" i="4"/>
  <c r="H36" i="4"/>
  <c r="G36" i="4"/>
  <c r="F36" i="4"/>
  <c r="E36" i="4"/>
  <c r="D36" i="4"/>
  <c r="C36" i="4"/>
  <c r="B36" i="4"/>
  <c r="N35" i="4"/>
  <c r="L35" i="4"/>
  <c r="K35" i="4"/>
  <c r="J35" i="4"/>
  <c r="M35" i="4" s="1"/>
  <c r="I35" i="4"/>
  <c r="H35" i="4"/>
  <c r="G35" i="4"/>
  <c r="F35" i="4"/>
  <c r="E35" i="4"/>
  <c r="D35" i="4"/>
  <c r="C35" i="4"/>
  <c r="B35" i="4"/>
  <c r="N34" i="4"/>
  <c r="M34" i="4"/>
  <c r="L34" i="4"/>
  <c r="K34" i="4"/>
  <c r="J34" i="4"/>
  <c r="I34" i="4"/>
  <c r="H34" i="4"/>
  <c r="G34" i="4"/>
  <c r="F34" i="4"/>
  <c r="E34" i="4"/>
  <c r="D34" i="4"/>
  <c r="C34" i="4"/>
  <c r="B34" i="4"/>
  <c r="N33" i="4"/>
  <c r="M33" i="4"/>
  <c r="L33" i="4"/>
  <c r="K33" i="4"/>
  <c r="J33" i="4"/>
  <c r="I33" i="4"/>
  <c r="H33" i="4"/>
  <c r="G33" i="4"/>
  <c r="F33" i="4"/>
  <c r="E33" i="4"/>
  <c r="D33" i="4"/>
  <c r="C33" i="4"/>
  <c r="B33" i="4"/>
  <c r="N32" i="4"/>
  <c r="M32" i="4"/>
  <c r="L32" i="4"/>
  <c r="K32" i="4"/>
  <c r="J32" i="4"/>
  <c r="I32" i="4"/>
  <c r="H32" i="4"/>
  <c r="G32" i="4"/>
  <c r="F32" i="4"/>
  <c r="E32" i="4"/>
  <c r="D32" i="4"/>
  <c r="C32" i="4"/>
  <c r="B32" i="4"/>
  <c r="N31" i="4"/>
  <c r="L31" i="4"/>
  <c r="K31" i="4"/>
  <c r="J31" i="4"/>
  <c r="I31" i="4"/>
  <c r="H31" i="4"/>
  <c r="G31" i="4"/>
  <c r="F31" i="4"/>
  <c r="E31" i="4"/>
  <c r="D31" i="4"/>
  <c r="M31" i="4" s="1"/>
  <c r="C31" i="4"/>
  <c r="B31" i="4"/>
  <c r="N30" i="4"/>
  <c r="L30" i="4"/>
  <c r="K30" i="4"/>
  <c r="J30" i="4"/>
  <c r="I30" i="4"/>
  <c r="H30" i="4"/>
  <c r="G30" i="4"/>
  <c r="F30" i="4"/>
  <c r="E30" i="4"/>
  <c r="D30" i="4"/>
  <c r="M30" i="4" s="1"/>
  <c r="C30" i="4"/>
  <c r="B30" i="4"/>
  <c r="N29" i="4"/>
  <c r="L29" i="4"/>
  <c r="K29" i="4"/>
  <c r="J29" i="4"/>
  <c r="I29" i="4"/>
  <c r="H29" i="4"/>
  <c r="G29" i="4"/>
  <c r="F29" i="4"/>
  <c r="E29" i="4"/>
  <c r="D29" i="4"/>
  <c r="M29" i="4" s="1"/>
  <c r="C29" i="4"/>
  <c r="B29" i="4"/>
  <c r="N28" i="4"/>
  <c r="L28" i="4"/>
  <c r="K28" i="4"/>
  <c r="J28" i="4"/>
  <c r="M28" i="4" s="1"/>
  <c r="I28" i="4"/>
  <c r="H28" i="4"/>
  <c r="G28" i="4"/>
  <c r="F28" i="4"/>
  <c r="E28" i="4"/>
  <c r="D28" i="4"/>
  <c r="C28" i="4"/>
  <c r="B28" i="4"/>
  <c r="N27" i="4"/>
  <c r="L27" i="4"/>
  <c r="K27" i="4"/>
  <c r="J27" i="4"/>
  <c r="M27" i="4" s="1"/>
  <c r="I27" i="4"/>
  <c r="H27" i="4"/>
  <c r="G27" i="4"/>
  <c r="F27" i="4"/>
  <c r="E27" i="4"/>
  <c r="D27" i="4"/>
  <c r="C27" i="4"/>
  <c r="B27" i="4"/>
  <c r="N26" i="4"/>
  <c r="L26" i="4"/>
  <c r="K26" i="4"/>
  <c r="J26" i="4"/>
  <c r="M26" i="4" s="1"/>
  <c r="I26" i="4"/>
  <c r="H26" i="4"/>
  <c r="G26" i="4"/>
  <c r="F26" i="4"/>
  <c r="E26" i="4"/>
  <c r="D26" i="4"/>
  <c r="C26" i="4"/>
  <c r="B26" i="4"/>
  <c r="N25" i="4"/>
  <c r="L25" i="4"/>
  <c r="K25" i="4"/>
  <c r="J25" i="4"/>
  <c r="M25" i="4" s="1"/>
  <c r="I25" i="4"/>
  <c r="H25" i="4"/>
  <c r="G25" i="4"/>
  <c r="F25" i="4"/>
  <c r="E25" i="4"/>
  <c r="D25" i="4"/>
  <c r="C25" i="4"/>
  <c r="B25" i="4"/>
  <c r="N24" i="4"/>
  <c r="L24" i="4"/>
  <c r="K24" i="4"/>
  <c r="J24" i="4"/>
  <c r="M24" i="4" s="1"/>
  <c r="I24" i="4"/>
  <c r="H24" i="4"/>
  <c r="G24" i="4"/>
  <c r="F24" i="4"/>
  <c r="E24" i="4"/>
  <c r="D24" i="4"/>
  <c r="C24" i="4"/>
  <c r="B24" i="4"/>
  <c r="N23" i="4"/>
  <c r="L23" i="4"/>
  <c r="K23" i="4"/>
  <c r="J23" i="4"/>
  <c r="M23" i="4" s="1"/>
  <c r="I23" i="4"/>
  <c r="H23" i="4"/>
  <c r="G23" i="4"/>
  <c r="F23" i="4"/>
  <c r="E23" i="4"/>
  <c r="D23" i="4"/>
  <c r="C23" i="4"/>
  <c r="B23" i="4"/>
  <c r="N22" i="4"/>
  <c r="M22" i="4"/>
  <c r="L22" i="4"/>
  <c r="K22" i="4"/>
  <c r="J22" i="4"/>
  <c r="I22" i="4"/>
  <c r="H22" i="4"/>
  <c r="G22" i="4"/>
  <c r="F22" i="4"/>
  <c r="E22" i="4"/>
  <c r="D22" i="4"/>
  <c r="C22" i="4"/>
  <c r="B22" i="4"/>
  <c r="N21" i="4"/>
  <c r="M21" i="4"/>
  <c r="L21" i="4"/>
  <c r="K21" i="4"/>
  <c r="J21" i="4"/>
  <c r="I21" i="4"/>
  <c r="H21" i="4"/>
  <c r="G21" i="4"/>
  <c r="F21" i="4"/>
  <c r="E21" i="4"/>
  <c r="D21" i="4"/>
  <c r="C21" i="4"/>
  <c r="B21" i="4"/>
  <c r="N20" i="4"/>
  <c r="M20" i="4"/>
  <c r="L20" i="4"/>
  <c r="K20" i="4"/>
  <c r="J20" i="4"/>
  <c r="I20" i="4"/>
  <c r="H20" i="4"/>
  <c r="G20" i="4"/>
  <c r="F20" i="4"/>
  <c r="E20" i="4"/>
  <c r="D20" i="4"/>
  <c r="C20" i="4"/>
  <c r="B20" i="4"/>
  <c r="N19" i="4"/>
  <c r="L19" i="4"/>
  <c r="K19" i="4"/>
  <c r="J19" i="4"/>
  <c r="I19" i="4"/>
  <c r="H19" i="4"/>
  <c r="G19" i="4"/>
  <c r="F19" i="4"/>
  <c r="E19" i="4"/>
  <c r="D19" i="4"/>
  <c r="M19" i="4" s="1"/>
  <c r="C19" i="4"/>
  <c r="B19" i="4"/>
  <c r="N18" i="4"/>
  <c r="L18" i="4"/>
  <c r="K18" i="4"/>
  <c r="J18" i="4"/>
  <c r="I18" i="4"/>
  <c r="H18" i="4"/>
  <c r="G18" i="4"/>
  <c r="F18" i="4"/>
  <c r="E18" i="4"/>
  <c r="D18" i="4"/>
  <c r="M18" i="4" s="1"/>
  <c r="C18" i="4"/>
  <c r="B18" i="4"/>
  <c r="N17" i="4"/>
  <c r="L17" i="4"/>
  <c r="K17" i="4"/>
  <c r="J17" i="4"/>
  <c r="I17" i="4"/>
  <c r="H17" i="4"/>
  <c r="G17" i="4"/>
  <c r="F17" i="4"/>
  <c r="E17" i="4"/>
  <c r="D17" i="4"/>
  <c r="M17" i="4" s="1"/>
  <c r="C17" i="4"/>
  <c r="B17" i="4"/>
  <c r="N16" i="4"/>
  <c r="L16" i="4"/>
  <c r="K16" i="4"/>
  <c r="J16" i="4"/>
  <c r="M16" i="4" s="1"/>
  <c r="I16" i="4"/>
  <c r="H16" i="4"/>
  <c r="G16" i="4"/>
  <c r="F16" i="4"/>
  <c r="E16" i="4"/>
  <c r="D16" i="4"/>
  <c r="C16" i="4"/>
  <c r="B16" i="4"/>
  <c r="N15" i="4"/>
  <c r="L15" i="4"/>
  <c r="K15" i="4"/>
  <c r="J15" i="4"/>
  <c r="M15" i="4" s="1"/>
  <c r="I15" i="4"/>
  <c r="H15" i="4"/>
  <c r="G15" i="4"/>
  <c r="F15" i="4"/>
  <c r="E15" i="4"/>
  <c r="D15" i="4"/>
  <c r="C15" i="4"/>
  <c r="B15" i="4"/>
  <c r="N14" i="4"/>
  <c r="L14" i="4"/>
  <c r="K14" i="4"/>
  <c r="J14" i="4"/>
  <c r="M14" i="4" s="1"/>
  <c r="I14" i="4"/>
  <c r="H14" i="4"/>
  <c r="G14" i="4"/>
  <c r="F14" i="4"/>
  <c r="E14" i="4"/>
  <c r="D14" i="4"/>
  <c r="C14" i="4"/>
  <c r="B14" i="4"/>
  <c r="N13" i="4"/>
  <c r="L13" i="4"/>
  <c r="K13" i="4"/>
  <c r="J13" i="4"/>
  <c r="M13" i="4" s="1"/>
  <c r="I13" i="4"/>
  <c r="H13" i="4"/>
  <c r="G13" i="4"/>
  <c r="F13" i="4"/>
  <c r="E13" i="4"/>
  <c r="D13" i="4"/>
  <c r="C13" i="4"/>
  <c r="B13" i="4"/>
  <c r="N12" i="4"/>
  <c r="L12" i="4"/>
  <c r="K12" i="4"/>
  <c r="J12" i="4"/>
  <c r="M12" i="4" s="1"/>
  <c r="I12" i="4"/>
  <c r="H12" i="4"/>
  <c r="G12" i="4"/>
  <c r="F12" i="4"/>
  <c r="E12" i="4"/>
  <c r="D12" i="4"/>
  <c r="C12" i="4"/>
  <c r="B12" i="4"/>
  <c r="N11" i="4"/>
  <c r="L11" i="4"/>
  <c r="K11" i="4"/>
  <c r="J11" i="4"/>
  <c r="M11" i="4" s="1"/>
  <c r="I11" i="4"/>
  <c r="H11" i="4"/>
  <c r="G11" i="4"/>
  <c r="F11" i="4"/>
  <c r="E11" i="4"/>
  <c r="D11" i="4"/>
  <c r="C11" i="4"/>
  <c r="B11" i="4"/>
  <c r="N10" i="4"/>
  <c r="M10" i="4"/>
  <c r="L10" i="4"/>
  <c r="K10" i="4"/>
  <c r="J10" i="4"/>
  <c r="I10" i="4"/>
  <c r="H10" i="4"/>
  <c r="G10" i="4"/>
  <c r="F10" i="4"/>
  <c r="E10" i="4"/>
  <c r="D10" i="4"/>
  <c r="C10" i="4"/>
  <c r="B10" i="4"/>
  <c r="N9" i="4"/>
  <c r="M9" i="4"/>
  <c r="L9" i="4"/>
  <c r="K9" i="4"/>
  <c r="J9" i="4"/>
  <c r="I9" i="4"/>
  <c r="H9" i="4"/>
  <c r="G9" i="4"/>
  <c r="F9" i="4"/>
  <c r="E9" i="4"/>
  <c r="D9" i="4"/>
  <c r="C9" i="4"/>
  <c r="B9" i="4"/>
  <c r="N8" i="4"/>
  <c r="M8" i="4"/>
  <c r="L8" i="4"/>
  <c r="K8" i="4"/>
  <c r="J8" i="4"/>
  <c r="I8" i="4"/>
  <c r="H8" i="4"/>
  <c r="G8" i="4"/>
  <c r="F8" i="4"/>
  <c r="E8" i="4"/>
  <c r="D8" i="4"/>
  <c r="C8" i="4"/>
  <c r="B8" i="4"/>
  <c r="N7" i="4"/>
  <c r="L7" i="4"/>
  <c r="K7" i="4"/>
  <c r="J7" i="4"/>
  <c r="I7" i="4"/>
  <c r="H7" i="4"/>
  <c r="G7" i="4"/>
  <c r="F7" i="4"/>
  <c r="E7" i="4"/>
  <c r="D7" i="4"/>
  <c r="M7" i="4" s="1"/>
  <c r="C7" i="4"/>
  <c r="B7" i="4"/>
  <c r="N6" i="4"/>
  <c r="L6" i="4"/>
  <c r="K6" i="4"/>
  <c r="J6" i="4"/>
  <c r="I6" i="4"/>
  <c r="H6" i="4"/>
  <c r="G6" i="4"/>
  <c r="F6" i="4"/>
  <c r="E6" i="4"/>
  <c r="D6" i="4"/>
  <c r="M6" i="4" s="1"/>
  <c r="C6" i="4"/>
  <c r="B6" i="4"/>
  <c r="N5" i="4"/>
  <c r="L5" i="4"/>
  <c r="K5" i="4"/>
  <c r="J5" i="4"/>
  <c r="I5" i="4"/>
  <c r="H5" i="4"/>
  <c r="G5" i="4"/>
  <c r="F5" i="4"/>
  <c r="E5" i="4"/>
  <c r="D5" i="4"/>
  <c r="M5" i="4" s="1"/>
  <c r="C5" i="4"/>
  <c r="B5" i="4"/>
  <c r="N4" i="4"/>
  <c r="L4" i="4"/>
  <c r="K4" i="4"/>
  <c r="J4" i="4"/>
  <c r="M4" i="4" s="1"/>
  <c r="I4" i="4"/>
  <c r="H4" i="4"/>
  <c r="G4" i="4"/>
  <c r="F4" i="4"/>
  <c r="E4" i="4"/>
  <c r="D4" i="4"/>
  <c r="C4" i="4"/>
  <c r="B4" i="4"/>
  <c r="N3" i="4"/>
  <c r="L3" i="4"/>
  <c r="K3" i="4"/>
  <c r="J3" i="4"/>
  <c r="M3" i="4" s="1"/>
  <c r="I3" i="4"/>
  <c r="H3" i="4"/>
  <c r="G3" i="4"/>
  <c r="F3" i="4"/>
  <c r="E3" i="4"/>
  <c r="D3" i="4"/>
  <c r="C3" i="4"/>
  <c r="B3" i="4"/>
  <c r="N2" i="4"/>
  <c r="L2" i="4"/>
  <c r="L143" i="4" s="1"/>
  <c r="K2" i="4"/>
  <c r="K143" i="4" s="1"/>
  <c r="J2" i="4"/>
  <c r="M2" i="4" s="1"/>
  <c r="I2" i="4"/>
  <c r="I143" i="4" s="1"/>
  <c r="H2" i="4"/>
  <c r="H143" i="4" s="1"/>
  <c r="G2" i="4"/>
  <c r="G143" i="4" s="1"/>
  <c r="F2" i="4"/>
  <c r="F143" i="4" s="1"/>
  <c r="E2" i="4"/>
  <c r="E143" i="4" s="1"/>
  <c r="D2" i="4"/>
  <c r="D143" i="4" s="1"/>
  <c r="C2" i="4"/>
  <c r="B2" i="4"/>
  <c r="J143" i="4" l="1"/>
  <c r="M143" i="4" s="1"/>
</calcChain>
</file>

<file path=xl/sharedStrings.xml><?xml version="1.0" encoding="utf-8"?>
<sst xmlns="http://schemas.openxmlformats.org/spreadsheetml/2006/main" count="13667" uniqueCount="4660">
  <si>
    <t>Team Talent — User Stories &amp; Test Cases Workbook</t>
  </si>
  <si>
    <t>AI-Powered HR &amp; Talent Management Platform · Client: Mazik Global</t>
  </si>
  <si>
    <t>Contents</t>
  </si>
  <si>
    <t>User Stories</t>
  </si>
  <si>
    <t>One row per user story (140 total) with full requirement detail and an Assigned Developer column at the far right for team allocation.</t>
  </si>
  <si>
    <t>Test Cases</t>
  </si>
  <si>
    <t>One row per test case (1,177 total), traceable back to its Story ID, with a Status column to track execution.</t>
  </si>
  <si>
    <t>Traceability Summary</t>
  </si>
  <si>
    <t>One row per user story showing test-case coverage counts, pass/fail/not-run breakdown, and the assigned developer — all computed with live formulas.</t>
  </si>
  <si>
    <t>Team Members</t>
  </si>
  <si>
    <t>Editable list of developer / QA names. Add your team here — the Assigned Developer dropdown on the User Stories sheet pulls from this list.</t>
  </si>
  <si>
    <t>How to use it</t>
  </si>
  <si>
    <t>Filtering</t>
  </si>
  <si>
    <t>Every data sheet has AutoFilter enabled on its header row — use the dropdown arrows to filter by Phase, Priority, Status, Assigned Developer, etc.</t>
  </si>
  <si>
    <t>Assigning work</t>
  </si>
  <si>
    <t>Go to the "User Stories" sheet, scroll to the last column (Assigned Developer), and pick a name from the dropdown for each story. Add more names on the "Team Members" sheet first if needed.</t>
  </si>
  <si>
    <t>Tracking test execution</t>
  </si>
  <si>
    <t>On the "Test Cases" sheet, set the Status dropdown to Not Run / Pass / Fail / Blocked as testing progresses — the cell colour updates automatically and the Traceability Summary recalculates.</t>
  </si>
  <si>
    <t>Frozen headers</t>
  </si>
  <si>
    <t>Header rows are frozen on every sheet so column titles stay visible while you scroll.</t>
  </si>
  <si>
    <t>Totals</t>
  </si>
  <si>
    <t>Total User Stories</t>
  </si>
  <si>
    <t>140 (US-001 to US-140)</t>
  </si>
  <si>
    <t>Total Test Cases</t>
  </si>
  <si>
    <t>1177</t>
  </si>
  <si>
    <t>Phase 2 -- Digital Hiring &amp; Employee Onboarding</t>
  </si>
  <si>
    <t>65 user stories</t>
  </si>
  <si>
    <t>Phase 3 -- Learning, Performance &amp; Talent Management</t>
  </si>
  <si>
    <t>45 user stories</t>
  </si>
  <si>
    <t>Phase 4 -- AI Coaching &amp; Intelligent Assistance</t>
  </si>
  <si>
    <t>15 user stories</t>
  </si>
  <si>
    <t>Phase 5 -- Reporting, Analytics &amp; Executive Dashboards</t>
  </si>
  <si>
    <t>Colour Legend — Priority</t>
  </si>
  <si>
    <t>Critical</t>
  </si>
  <si>
    <t>Must be delivered first — blocking or core platform functionality.</t>
  </si>
  <si>
    <t>High</t>
  </si>
  <si>
    <t>Important for the release; schedule soon after Critical items.</t>
  </si>
  <si>
    <t>Medium</t>
  </si>
  <si>
    <t>Standard priority; scheduled in normal sprint order.</t>
  </si>
  <si>
    <t>Low</t>
  </si>
  <si>
    <t>Nice-to-have; can slip to a later release if needed.</t>
  </si>
  <si>
    <t>Colour Legend — Test Case Type</t>
  </si>
  <si>
    <t>Positive</t>
  </si>
  <si>
    <t>Valid / happy-path scenario.</t>
  </si>
  <si>
    <t>Negative</t>
  </si>
  <si>
    <t>Invalid input or error-handling scenario.</t>
  </si>
  <si>
    <t>Security</t>
  </si>
  <si>
    <t>Authorization / access-control scenario.</t>
  </si>
  <si>
    <t>Boundary</t>
  </si>
  <si>
    <t>Limit or edge-value scenario.</t>
  </si>
  <si>
    <t>Colour Legend — Test Status</t>
  </si>
  <si>
    <t>Not Run</t>
  </si>
  <si>
    <t>Pass</t>
  </si>
  <si>
    <t>Fail</t>
  </si>
  <si>
    <t>Blocked</t>
  </si>
  <si>
    <t>Generated 14 Jul 2026  ·  Source: Talent_SaaS_Phase1_US001-US035_Updated.docx</t>
  </si>
  <si>
    <t>Story ID</t>
  </si>
  <si>
    <t>Phase</t>
  </si>
  <si>
    <t>Epic</t>
  </si>
  <si>
    <t>Feature / Module</t>
  </si>
  <si>
    <t>Actor</t>
  </si>
  <si>
    <t>Priority</t>
  </si>
  <si>
    <t>Pts</t>
  </si>
  <si>
    <t>User Story (As a / I want / So that)</t>
  </si>
  <si>
    <t>Description</t>
  </si>
  <si>
    <t>Acceptance Criteria</t>
  </si>
  <si>
    <t>Business Rules</t>
  </si>
  <si>
    <t>Dependencies</t>
  </si>
  <si>
    <t>Suggested API(s)</t>
  </si>
  <si>
    <t>Assigned Developer</t>
  </si>
  <si>
    <t>STATUS</t>
  </si>
  <si>
    <t>US-001</t>
  </si>
  <si>
    <t>Epic 1: Authentication &amp; Access Management</t>
  </si>
  <si>
    <t>Authentication &amp; Access Management</t>
  </si>
  <si>
    <t>Recruiter</t>
  </si>
  <si>
    <t>5</t>
  </si>
  <si>
    <t>As a Recruiter, I want to register my account using my official company email so that I can securely access the Talent platform.</t>
  </si>
  <si>
    <t>The system shall allow recruiters to create a new account by providing their official company email address, full name, phone number, and password. The registration process shall validate all mandatory fields, prevent duplicate accounts, securely store credentials using Supabase Authentication, and send an email verification link. The recruiter account shall remain inactive until the email address has been successfully verified.  ||  Business Value: Ensures only verified recruiters can access the Talent platform while maintaining secure authentication.  ||  Preconditions: Recruiter has access to the registration page.; Recruiter does not already have an account.  ||  Main Flow: Open Registration page.; Enter Full Name.; Enter Company Email.; Enter Phone Number.; Enter Password.; Confirm Password.; Accept Terms &amp; Conditions.; Click Register.; Validate input.; Create account.; Send verification email.; Display success message.  ||  Validation Rules: Email format validation.; Password confirmation must match.; Mandatory fields cannot be empty.  ||  Database: Supabase Auth; MongoDB: Recruiters; MongoDB: AuditLogs</t>
  </si>
  <si>
    <t>Given valid information, when Register is clicked, then recruiter account is created. • Given duplicate email, when Register is clicked, then duplicate email message is displayed. • Given weak password, when Register is clicked, then registration is blocked. • Given successful registration, then verification email is sent. • Recruiter cannot login until email is verified.</t>
  </si>
  <si>
    <t>Company email must be unique. • Password minimum 8 characters. • Password must contain uppercase, lowercase, number, and special character. • Email verification mandatory.</t>
  </si>
  <si>
    <t>None</t>
  </si>
  <si>
    <t>POST /api/auth/register</t>
  </si>
  <si>
    <t>Syed Omer Ahmed Shamsi</t>
  </si>
  <si>
    <t>Dev done</t>
  </si>
  <si>
    <t>US-002</t>
  </si>
  <si>
    <t>3</t>
  </si>
  <si>
    <t>As a Recruiter, I want to verify my email address so that my account becomes active.</t>
  </si>
  <si>
    <t>The system shall automatically send a verification email after successful registration. Recruiters shall activate their account by clicking the verification link.  ||  Main Flow: Registration completed.; Verification email sent.; Recruiter clicks verification link.; Token validated.; Account activated.; Success message displayed.  ||  Database: VerificationTokens; Recruiters</t>
  </si>
  <si>
    <t>Verification email generated. • Token expires after 24 hours. • Expired token displays appropriate message. • Verification activates account. • Token cannot be reused.</t>
  </si>
  <si>
    <t>Verification link valid for 24 hours. • One-time use only.</t>
  </si>
  <si>
    <t>POST /api/auth/verify-email</t>
  </si>
  <si>
    <t>US-003</t>
  </si>
  <si>
    <t>2</t>
  </si>
  <si>
    <t>As a Recruiter, I want to resend my verification email if I did not receive it.</t>
  </si>
  <si>
    <t>Recruiters may request a new verification email while their account remains inactive.</t>
  </si>
  <si>
    <t>Verification email resent successfully. • Previous token invalidated. • New token generated. • Success message displayed.</t>
  </si>
  <si>
    <t>POST /api/auth/resend-verification</t>
  </si>
  <si>
    <t>Taha Iftikhar</t>
  </si>
  <si>
    <t>US-004</t>
  </si>
  <si>
    <t>User</t>
  </si>
  <si>
    <t>As a Recruiter, I want to securely login so that I can access my dashboard.</t>
  </si>
  <si>
    <t>The system shall authenticate recruiters using Supabase Authentication and redirect authenticated users to the Recruiter Dashboard.</t>
  </si>
  <si>
    <t>Valid login succeeds. • Invalid credentials rejected. • Loading indicator shown. • JWT session created. • Audit log generated.</t>
  </si>
  <si>
    <t>Maximum 5 failed login attempts. • Account locked for 15 minutes. • API • POST /api/auth/login</t>
  </si>
  <si>
    <t>US-005</t>
  </si>
  <si>
    <t>As a Recruiter, I want my login session remembered so that I don't have to login repeatedly.</t>
  </si>
  <si>
    <t>Allow persistent login using secure refresh tokens.</t>
  </si>
  <si>
    <t>Session restored. • Refresh token validated. • Invalid refresh token rejected.</t>
  </si>
  <si>
    <t>Sadaf Ashfaq</t>
  </si>
  <si>
    <t>US-006</t>
  </si>
  <si>
    <t>As a Recruiter, I want to reset my password if I forget it.</t>
  </si>
  <si>
    <t>Allow recruiters to request a secure password reset email.</t>
  </si>
  <si>
    <t>Registered email accepted. • Reset token generated. • Email sent. • Invalid email handled securely. • API • POST /api/auth/forgot-password</t>
  </si>
  <si>
    <t>US-007</t>
  </si>
  <si>
    <t>As a Recruiter, I want to create a new password using a reset link.</t>
  </si>
  <si>
    <t>Allow recruiters to securely update their password after validating the reset token.</t>
  </si>
  <si>
    <t>Token validated. • Password updated. • Previous sessions revoked. • Success confirmation shown.</t>
  </si>
  <si>
    <t>Faris Dosani</t>
  </si>
  <si>
    <t>US-008</t>
  </si>
  <si>
    <t>As a Recruiter, I want to logout securely so that my session ends safely.</t>
  </si>
  <si>
    <t>Terminate active session and revoke authentication tokens.</t>
  </si>
  <si>
    <t>Session destroyed. • Refresh token revoked. • Redirect to Login page. • Audit log recorded.</t>
  </si>
  <si>
    <t>US-009</t>
  </si>
  <si>
    <t>As a Recruiter, I want inactive sessions to expire automatically to improve security.</t>
  </si>
  <si>
    <t>Automatically logout users after configurable inactivity.</t>
  </si>
  <si>
    <t>Idle timer starts. • Warning displayed before timeout. • Session expires automatically. • Login required again.</t>
  </si>
  <si>
    <t xml:space="preserve">Aimen Abdullah </t>
  </si>
  <si>
    <t>US-010</t>
  </si>
  <si>
    <t>As a Candidate, I want to register my account after accepting an offer so that I can begin onboarding.</t>
  </si>
  <si>
    <t>Candidates shall register using the invitation link provided by the recruiter and complete account creation.</t>
  </si>
  <si>
    <t>Invitation validated. • Candidate account created. • Email verified. • Redirect to onboarding.</t>
  </si>
  <si>
    <t>US-011</t>
  </si>
  <si>
    <t>As a Candidate, I want to securely login so that I can complete onboarding activities.</t>
  </si>
  <si>
    <t>Authenticate candidates using Supabase Authentication and redirect them to the Candidate Dashboard.</t>
  </si>
  <si>
    <t>Valid credentials accepted. • Invalid credentials rejected. • Session created. • Dashboard displayed.</t>
  </si>
  <si>
    <t>Hassan Farooqi</t>
  </si>
  <si>
    <t>US-012</t>
  </si>
  <si>
    <t>As the System, I want to enforce role-based access control so that each user only accesses authorized features.</t>
  </si>
  <si>
    <t>The system shall support only three roles: Super Admin Recruiter Candidate (later transitions to Employee) Permissions shall be enforced at both UI and API levels.  ||  Database: Users; Roles; Permissions; AuditLogs</t>
  </si>
  <si>
    <t>Super Admin accesses all modules. • Recruiter accesses recruitment, onboarding, learning, AI, and reporting. • Candidate accesses only personal onboarding, learning, AI Coach, and profile. • Unauthorized requests return HTTP 403. • Hidden UI elements are not rendered for unauthorized roles.</t>
  </si>
  <si>
    <t>Middleware on all protected endpoints.</t>
  </si>
  <si>
    <t>US-013</t>
  </si>
  <si>
    <t>Epic 2: Recruiter Dashboard &amp; Candidate Dashboard</t>
  </si>
  <si>
    <t>Dashboard Management</t>
  </si>
  <si>
    <t>As a Recruiter, I want to view a centralized dashboard so that I can monitor onboarding progress, pending approvals, and employee activities.</t>
  </si>
  <si>
    <t>The system shall provide a dashboard displaying onboarding statistics, pending approvals, recently joined employees, pending document verification, upcoming joining dates, notifications, and quick action shortcuts.  ||  Business Value: Provides recruiters with an overview of onboarding operations, reducing manual tracking and improving operational efficiency.  ||  Preconditions: Recruiter is authenticated.; Dashboard data is available.  ||  Main Flow: Recruiter logs in.; Dashboard loads.; System retrieves onboarding metrics.; Dashboard widgets are displayed.  ||  Database: Dashboard Aggregation Collections; Employees; Documents; Notifications; AuditLogs</t>
  </si>
  <si>
    <t>Dashboard loads within 3 seconds. • Active employee count displayed. • Pending onboarding displayed. • Pending document verification displayed. • Upcoming joining dates displayed. • Notifications displayed. • Quick actions available.</t>
  </si>
  <si>
    <t>Dashboard data refreshes every 60 seconds. • Widgets depend on recruiter permissions.</t>
  </si>
  <si>
    <t>GET `/api/dashboard/summary` • GET `/api/dashboard/activity`</t>
  </si>
  <si>
    <t>US-014</t>
  </si>
  <si>
    <t>As a Recruiter, I want to receive notifications so that I never miss onboarding activities requiring attention.</t>
  </si>
  <si>
    <t>Display real-time notifications for document submissions, approvals, rejected documents, onboarding completion, and candidate activities.</t>
  </si>
  <si>
    <t>Notification badge updates. • Unread count displayed. • Notifications marked as read. • Clicking notification redirects to related screen.</t>
  </si>
  <si>
    <t>GET `/api/notifications` • PUT `/api/notifications/read`</t>
  </si>
  <si>
    <t>US-015</t>
  </si>
  <si>
    <t>As a Recruiter, I want quick CURD actions so that I can perform common onboarding tasks efficiently.</t>
  </si>
  <si>
    <t>Provide one-click access to frequently used actions.  ||  Quick Actions: Add Employee; View Documents; Pending Approvals; Candidate List; Reports; Learning Assignments</t>
  </si>
  <si>
    <t>Buttons visible. • Redirect correctly. • Permission controlled.</t>
  </si>
  <si>
    <t>US-016</t>
  </si>
  <si>
    <t>As a Recruiter, I want to view recent platform activities so that I can track employee onboarding events.</t>
  </si>
  <si>
    <t>Display chronological activities including: Candidate Registered Documents Uploaded OCR Completed Employee Created Learning Assigned Documents Approved Offer Accepted</t>
  </si>
  <si>
    <t>Latest activity first. • Timestamp displayed. • User responsible displayed. • Filter available.</t>
  </si>
  <si>
    <t>GET `/api/activity`</t>
  </si>
  <si>
    <t>US-017</t>
  </si>
  <si>
    <t>As a Recruiter, I want to search employees and candidates from anywhere in the application.</t>
  </si>
  <si>
    <t>Provide a universal search allowing recruiters to search using: Name Email Employee ID Candidate ID Department Phone Number Search shall support fuzzy matching using MongoDB Atlas Search.</t>
  </si>
  <si>
    <t>Results returned within 2 seconds. • Partial keyword supported. • No duplicate results. • Pagination supported.</t>
  </si>
  <si>
    <t>GET `/api/search`</t>
  </si>
  <si>
    <t>US-018</t>
  </si>
  <si>
    <t>Candidate</t>
  </si>
  <si>
    <t>As a Candidate, I want a personalized dashboard so that I know what onboarding tasks remain before joining.</t>
  </si>
  <si>
    <t>Candidate dashboard shall display onboarding progress, pending documents, completed tasks, announcements, learning assignments, and AI Assistant shortcuts.  ||  UI: Progress Bar; Cards; Checklist; Announcements; Learning Widget; AI Assistant Widget</t>
  </si>
  <si>
    <t>Dashboard displays • Welcome message • Progress bar • Pending documents • Pending signatures • Assigned learning • Announcements • Profile completion percentage</t>
  </si>
  <si>
    <t>US-019</t>
  </si>
  <si>
    <t>As a Candidate, I want to track my onboarding completion so that I know what tasks remain before becoming an employee.</t>
  </si>
  <si>
    <t>The platform shall display onboarding completion percentage based on completed activities. Example ✔ Account Created ✔ Documents Uploaded ✔ OCR Verified ✔ NDA Signed ✔ Offer Accepted ✔ Learning Assigned</t>
  </si>
  <si>
    <t>Percentage updates automatically. • Completed tasks highlighted. • Pending tasks clickable.</t>
  </si>
  <si>
    <t>GET `/api/onboarding/progress`</t>
  </si>
  <si>
    <t>US-020</t>
  </si>
  <si>
    <t>As a Candidate, I want to receive announcements so that I stay informed about onboarding activities and company updates.</t>
  </si>
  <si>
    <t>Recruiters can publish onboarding announcements visible to all assigned candidates.</t>
  </si>
  <si>
    <t>Latest announcements first. • Rich text supported. • Attachments supported. • Read status maintained.</t>
  </si>
  <si>
    <t>US-021</t>
  </si>
  <si>
    <t>As a Candidate, I want to see all pending onboarding tasks in one place so that I can complete them efficiently.</t>
  </si>
  <si>
    <t>The dashboard shall display all required onboarding activities. Tasks include Upload CNIC Upload Degree Upload Certificates Sign NDA Complete Profile Complete Bank Details Review Policies Complete Assigned Learning</t>
  </si>
  <si>
    <t>Tasks sorted by priority. • Due dates displayed. • Completion status visible. • Clicking task opens relevant page.</t>
  </si>
  <si>
    <t>US-022</t>
  </si>
  <si>
    <t>As a Candidate, I want my dashboard to greet me personally so that my onboarding experience feels engaging.</t>
  </si>
  <si>
    <t>Dashboard displays: Welcome message Profile picture Joining date Recruiter contact Department Designation Office location</t>
  </si>
  <si>
    <t>Data retrieved from employee profile. • Responsive layout. • Information updated automatically.</t>
  </si>
  <si>
    <t>US-023</t>
  </si>
  <si>
    <t>Epic 3: Employee Profile Management</t>
  </si>
  <si>
    <t>Employee Profile Management</t>
  </si>
  <si>
    <t>8</t>
  </si>
  <si>
    <t>As a Recruiter, I want to convert a selected candidate into an employee so that they become part of the organization's workforce.</t>
  </si>
  <si>
    <t>Once all onboarding prerequisites are completed (offer acceptance, document verification, approvals, and digital signature), the system shall convert the candidate profile into an employee profile without duplicating data. The candidate status shall automatically change to Employee, and all onboarding information shall be retained.  ||  Business Value: Automates employee creation while preserving the candidate's recruitment history.  ||  Preconditions: Candidate accepted offer.; Required documents verified.; NDA signed.; HR approval completed.  ||  Main Flow: Recruiter opens Candidate Profile.; Reviews onboarding status.; Clicks Convert to Employee.; System validates prerequisites.; Employee profile created.; Candidate status updated.; Employee ID generated.; Confirmation displayed.  ||  Database: Candidates; Employees; AuditLogs</t>
  </si>
  <si>
    <t>Candidate successfully converted. • No duplicate records created. • Recruitment history retained. • Employee profile generated. • Employee appears in Employee Directory.</t>
  </si>
  <si>
    <t>Conversion allowed only once. • Mandatory onboarding tasks must be completed. • Audit log created.</t>
  </si>
  <si>
    <t>`POST /api/employees/create-from-candidate`</t>
  </si>
  <si>
    <t>US-024</t>
  </si>
  <si>
    <t>As a Recruiter, I want the system to automatically generate a unique Employee ID.</t>
  </si>
  <si>
    <t>The system shall generate a unique employee identifier based on configurable organizational rules.</t>
  </si>
  <si>
    <t>Employee ID unique. • Generated automatically. • Non-editable. • Searchable.</t>
  </si>
  <si>
    <t>Example format: • ``` • MZK-2026-000123 • ```</t>
  </si>
  <si>
    <t>`POST /api/employees/generate-id`</t>
  </si>
  <si>
    <t>US-025</t>
  </si>
  <si>
    <t>As a Candidate, I want to complete my personal information so that my employee record is accurate.</t>
  </si>
  <si>
    <t>The employee profile shall store: First Name Last Name Date of Birth Gender Nationality Marital Status Blood Group CNIC/Passport Profile Picture</t>
  </si>
  <si>
    <t>Mandatory fields validated. • Profile saved. • Profile editable. • Audit history maintained.</t>
  </si>
  <si>
    <t>`PUT /api/employees/profile/personal`</t>
  </si>
  <si>
    <t>US-026</t>
  </si>
  <si>
    <t>As a Candidate, I want to provide my contact information so that the organization can communicate with me.</t>
  </si>
  <si>
    <t>Store: Email Phone Alternate Phone Current Address Permanent Address City Country Postal Code</t>
  </si>
  <si>
    <t>Address validated. • Phone format validated. • Duplicate email prevented.</t>
  </si>
  <si>
    <t>US-027</t>
  </si>
  <si>
    <t>As a Candidate, I want to add emergency contact details so that the company can contact my family in emergencies.</t>
  </si>
  <si>
    <t>Capture: Contact Name Relationship Phone Number Alternate Number Address</t>
  </si>
  <si>
    <t>At least one emergency contact required. • Phone validation. • Relationship mandatory.</t>
  </si>
  <si>
    <t>US-028</t>
  </si>
  <si>
    <t>As a Candidate, I want to record my educational qualifications.</t>
  </si>
  <si>
    <t>Allow multiple education entries. Each entry includes: Degree Institute Board/University CGPA/Percentage Passing Year Major Transcript Upload  ||  Database: Education Collection</t>
  </si>
  <si>
    <t>Multiple records supported. • Transcript upload optional. • Edit/Delete available.</t>
  </si>
  <si>
    <t>US-029</t>
  </si>
  <si>
    <t>As a Candidate, I want to record my previous employment history.</t>
  </si>
  <si>
    <t>Store previous organizations. Fields: Company Designation Joining Date Leaving Date Responsibilities Experience Letter</t>
  </si>
  <si>
    <t>Multiple companies supported. • Total experience calculated. • Employment gap identified.</t>
  </si>
  <si>
    <t>US-030</t>
  </si>
  <si>
    <t>As a Candidate, I want to manage my professional skills and certifications.</t>
  </si>
  <si>
    <t>Allow adding: Technical Skills Soft Skills Languages Certifications Certification Documents Expiry Date</t>
  </si>
  <si>
    <t>Searchable skills. • Multiple certificates. • Expiry reminders.</t>
  </si>
  <si>
    <t>US-031</t>
  </si>
  <si>
    <t>As a Candidate, I want to submit my banking information for salary processing.</t>
  </si>
  <si>
    <t>Store: Bank Name Account Title IBAN Branch Branch Code Swift Code Sensitive information shall be encrypted.  ||  Security: Encrypt bank information at rest.</t>
  </si>
  <si>
    <t>IBAN validated. • Duplicate account prevented. • Encryption applied.</t>
  </si>
  <si>
    <t>US-032</t>
  </si>
  <si>
    <t>As a Recruiter, I want to assign employment details to a new employee.</t>
  </si>
  <si>
    <t>Configure: Department Designation Employment Type Joining Date Office Location Reporting Manager Employment Status</t>
  </si>
  <si>
    <t>Department mandatory. • Joining date required. • Reporting manager selected. • Status defaults to Active.</t>
  </si>
  <si>
    <t>US-033</t>
  </si>
  <si>
    <t>As a Candidate, I want to know how complete my profile is before joining.</t>
  </si>
  <si>
    <t>The system calculates completion percentage based on mandatory profile sections.</t>
  </si>
  <si>
    <t>Percentage updates automatically. • Missing fields highlighted. • Progress displayed.</t>
  </si>
  <si>
    <t>US-034</t>
  </si>
  <si>
    <t>As a Recruiter, I want to view the employee timeline so that I can track important milestones.</t>
  </si>
  <si>
    <t>Display chronological events: Candidate Created Interview Completed Offer Sent Offer Accepted Documents Uploaded OCR Verified Employee Created Learning Assigned</t>
  </si>
  <si>
    <t>Chronological order. • Timestamp shown. • User responsible displayed.</t>
  </si>
  <si>
    <t>US-035</t>
  </si>
  <si>
    <t>As a Recruiter, I want to view and search all employees from a centralized directory.</t>
  </si>
  <si>
    <t>The Employee Directory shall support: Search by Name Employee ID Department Designation Status Joining Date Additional features: Pagination Sorting Filters Export CSV View Profile Edit Profile  ||  Database: Employees; Departments; Designations; AuditLogs; NDAs, versioning, approval workflow, and secure document storage.</t>
  </si>
  <si>
    <t>Search response \&lt;2 seconds. • Pagination supported. • Filters work independently and together. • Export generates correct data. • Clicking an employee opens the full profile.</t>
  </si>
  <si>
    <t>`GET /api/employees` • `GET /api/employees/{id}` • `PUT /api/employees/{id}` • `GET /api/employees/export`</t>
  </si>
  <si>
    <t>US-036</t>
  </si>
  <si>
    <t>Epic 4: Document Management &amp; Verification</t>
  </si>
  <si>
    <t>Document Management &amp; Verification</t>
  </si>
  <si>
    <t>As a Candidate, I want to upload my government-issued identification (CNIC/Passport) so that my identity can be verified before joining the organization.</t>
  </si>
  <si>
    <t>The system shall allow candidates to upload government-issued identity documents in PDF, JPG, JPEG, or PNG format. Uploaded files shall be securely stored in Supabase Storage and associated with the candidate profile. The system shall initiate OCR processing automatically after upload.  ||  Business Value: Ensures identity verification and compliance with organizational onboarding requirements.  ||  Preconditions: Candidate account active.; Candidate logged in.  ||  Main Flow: Open Documents page.; Select CNIC/Passport.; Upload file.; Validate file type and size.; Upload to Supabase Storage.; Trigger OCR processing.; Update document status.  ||  Database: Documents; Candidates; AuditLogs  ||  Storage: Supabase Storage</t>
  </si>
  <si>
    <t>Supported file formats accepted. • Maximum file size validated. • Upload completes successfully. • OCR starts automatically. • Document status updated.</t>
  </si>
  <si>
    <t>Maximum file size: 10 MB. • One active document per category. • Secure cloud storage mandatory.</t>
  </si>
  <si>
    <t>`POST /api/documents/upload`</t>
  </si>
  <si>
    <t>US-037</t>
  </si>
  <si>
    <t>As a Candidate, I want to upload my educational documents so that my qualifications can be verified.</t>
  </si>
  <si>
    <t>Candidates shall upload degree certificates, transcripts, and professional certifications. Multiple files shall be supported.</t>
  </si>
  <si>
    <t>Multiple uploads supported. • File validation performed. • Documents categorized. • Upload history maintained.</t>
  </si>
  <si>
    <t>US-038</t>
  </si>
  <si>
    <t>As a Candidate, I want to upload previous employment documents so that my work experience can be verified.</t>
  </si>
  <si>
    <t>Support uploading: Experience Letter Relieving Letter Salary Certificate Reference Letter</t>
  </si>
  <si>
    <t>Documents linked to profile. • Preview available. • Download supported.</t>
  </si>
  <si>
    <t>US-039</t>
  </si>
  <si>
    <t>As a Candidate, I want my documents organized into categories so that they are easy to manage.</t>
  </si>
  <si>
    <t>The system shall organize uploaded documents into categories: Identity Education Employment Banking Legal Other</t>
  </si>
  <si>
    <t>Categories displayed. • Filtering available. • Category mandatory during upload.</t>
  </si>
  <si>
    <t>US-040</t>
  </si>
  <si>
    <t>As the System, I want to validate uploaded files before storage to prevent invalid or malicious uploads.</t>
  </si>
  <si>
    <t>The system shall validate: File extension MIME type Maximum file size Corrupted files Duplicate uploads</t>
  </si>
  <si>
    <t>Invalid files rejected. • Malware scan initiated (future integration). • Appropriate error message displayed.</t>
  </si>
  <si>
    <t>PDF, JPG, JPEG, PNG only. • Maximum 10 MB. • Executable files prohibited.</t>
  </si>
  <si>
    <t>US-041</t>
  </si>
  <si>
    <t>System</t>
  </si>
  <si>
    <t>As the System, I want to extract structured information from uploaded documents using OCR so that manual verification effort is reduced.</t>
  </si>
  <si>
    <t>The platform shall automatically invoke PaddleOCR after document upload to extract: Full Name CNIC/Passport Number Date of Birth Issue Date Expiry Date Degree Name Institution Graduation Year Extracted data shall be stored separately for comparison with profile information.  ||  AI Component: PaddleOCR</t>
  </si>
  <si>
    <t>OCR triggered automatically. • Structured data extracted. • Confidence score generated. • OCR result stored. • Failed OCR flagged.</t>
  </si>
  <si>
    <t>`POST /api/ocr/process`</t>
  </si>
  <si>
    <t>US-042</t>
  </si>
  <si>
    <t>As a Recruiter, I want to review OCR results and verify uploaded documents so that employee records remain accurate.</t>
  </si>
  <si>
    <t>Recruiters shall compare OCR-extracted information against candidate profile information. Any mismatch shall be highlighted for review.  ||  Verification Status: Pending; Verified; Rejected; Needs Re-upload</t>
  </si>
  <si>
    <t>OCR data displayed. • Original document preview available. • Mismatches highlighted. • Verification status updated.</t>
  </si>
  <si>
    <t>US-043</t>
  </si>
  <si>
    <t>As a Recruiter, I want to reject invalid documents so that candidates can upload corrected versions.</t>
  </si>
  <si>
    <t>Recruiters shall provide rejection reasons selected from predefined options or entered manually.</t>
  </si>
  <si>
    <t>Rejection reason mandatory. • Candidate notified. • Document status updated.</t>
  </si>
  <si>
    <t>US-044</t>
  </si>
  <si>
    <t>As a Candidate, I want to replace rejected documents without affecting approved documents.</t>
  </si>
  <si>
    <t>Candidates may upload a new version of rejected documents.</t>
  </si>
  <si>
    <t>Previous version retained. • New version becomes active. • Recruiter notified.</t>
  </si>
  <si>
    <t>US-045</t>
  </si>
  <si>
    <t>As a Candidate, I want to digitally sign employment documents so that onboarding can be completed electronically.</t>
  </si>
  <si>
    <t>Candidates shall digitally sign: Offer Letter Employment Contract NDA Company Policies The signed document shall be stored with timestamp and signer information.</t>
  </si>
  <si>
    <t>Signature mandatory. • Timestamp recorded. • Signed PDF generated. • Audit log created.</t>
  </si>
  <si>
    <t>`POST /api/signature/sign`</t>
  </si>
  <si>
    <t>US-046</t>
  </si>
  <si>
    <t>As a Candidate, I want to review and accept the Non-Disclosure Agreement before joining the organization.</t>
  </si>
  <si>
    <t>Candidates must read and electronically accept the NDA before completing onboarding.</t>
  </si>
  <si>
    <t>NDA displayed. • Acceptance mandatory. • Signed copy stored.</t>
  </si>
  <si>
    <t>US-047</t>
  </si>
  <si>
    <t>As a Recruiter, I want to view document version history so that previous uploads remain auditable.</t>
  </si>
  <si>
    <t>Maintain historical versions of every uploaded document.</t>
  </si>
  <si>
    <t>Previous versions retained. • Latest version active. • Version timestamps available.</t>
  </si>
  <si>
    <t>US-048</t>
  </si>
  <si>
    <t>As an authorized user, I want to download stored documents for review when required.</t>
  </si>
  <si>
    <t>Recruiters and candidates may download documents based on access permissions.</t>
  </si>
  <si>
    <t>Authorization checked. • Download successful. • Download activity logged.</t>
  </si>
  <si>
    <t>US-049</t>
  </si>
  <si>
    <t>As a Candidate, I want to track the status of every uploaded document so that I know whether further action is required.</t>
  </si>
  <si>
    <t>Display real-time status: Uploaded Processing OCR Pending Verification Verified Rejected Re-upload Required</t>
  </si>
  <si>
    <t>Status updates automatically. • Status history maintained. • Candidate notified on status changes.</t>
  </si>
  <si>
    <t>US-050</t>
  </si>
  <si>
    <t>As the System, I want to securely store employee documents so that sensitive information remains protected and accessible only to authorized users.</t>
  </si>
  <si>
    <t>All uploaded documents shall be stored in Supabase Storage using private buckets. Access shall be controlled through authenticated, time-limited signed URLs. Metadata shall be maintained in MongoDB.  ||  Database: Documents; DocumentVersions; AuditLogs  ||  Storage: Supabase Storage (Private Bucket)</t>
  </si>
  <si>
    <t>Documents stored securely. • Private bucket enforced. • Signed URLs generated for access. • Metadata synchronized. • Audit logs maintained.</t>
  </si>
  <si>
    <t>No public document access. • Signed URL expiration configurable. • All access events logged.</t>
  </si>
  <si>
    <t>`GET /api/documents/{id}` • `DELETE /api/documents/{id}` • `GET /api/documents/download/{id}`</t>
  </si>
  <si>
    <t>US-051</t>
  </si>
  <si>
    <t>Epic 5: Digital Onboarding Workflow</t>
  </si>
  <si>
    <t>Digital Onboarding Workflow</t>
  </si>
  <si>
    <t>As a Recruiter, I want to initiate the onboarding process for a selected candidate so that all required onboarding activities are automatically created.</t>
  </si>
  <si>
    <t>Once a candidate accepts the offer, the recruiter can initiate onboarding. The system shall automatically generate onboarding tasks, assign a checklist, create the onboarding timeline, and notify the candidate.</t>
  </si>
  <si>
    <t>Onboarding starts successfully. • Checklist generated. • Candidate notified. • Timeline created. • Status updated to "Onboarding Started."</t>
  </si>
  <si>
    <t>`POST /api/onboarding/start`</t>
  </si>
  <si>
    <t>US-052</t>
  </si>
  <si>
    <t>As the System, I want to automatically generate onboarding tasks so that every employee follows a standardized joining process.</t>
  </si>
  <si>
    <t>Generate checklist items such as: Complete Profile Upload Documents Sign NDA Sign Employment Contract Complete Banking Information Read Company Policies Complete Assigned Learning HR Approval Final Employee Activation</t>
  </si>
  <si>
    <t>Checklist automatically created. • Tasks assigned in sequence. • Mandatory tasks identified. • Due dates generated.</t>
  </si>
  <si>
    <t>US-053</t>
  </si>
  <si>
    <t>As a Candidate, I want to view my onboarding checklist so that I know what tasks are pending before joining.</t>
  </si>
  <si>
    <t>Candidates shall see all onboarding tasks along with completion status, due dates, and dependencies.</t>
  </si>
  <si>
    <t>Checklist displayed. • Completed tasks highlighted. • Pending tasks clickable. • Progress percentage shown.</t>
  </si>
  <si>
    <t>US-054</t>
  </si>
  <si>
    <t>As a Candidate, I want to review and acknowledge company policies before becoming an employee.</t>
  </si>
  <si>
    <t>Candidates shall read: Code of Conduct IT Security Policy Leave Policy Remote Work Policy Confidentiality Policy Each policy requires acknowledgement.</t>
  </si>
  <si>
    <t>Policy viewer available. • Mandatory acknowledgement. • Timestamp stored. • Audit trail maintained.</t>
  </si>
  <si>
    <t>US-055</t>
  </si>
  <si>
    <t>As a Candidate, I want to see a personalized welcome dashboard after joining so that I feel connected with the organization.</t>
  </si>
  <si>
    <t>Display: Welcome Message Company Logo Recruiter Information Joining Date Office Location Team Details Orientation Schedule</t>
  </si>
  <si>
    <t>US-056</t>
  </si>
  <si>
    <t>As a Recruiter, I want to assign a reporting manager so that the employee knows their reporting hierarchy from the first day.</t>
  </si>
  <si>
    <t>Recruiters shall select a reporting manager during onboarding.</t>
  </si>
  <si>
    <t>Reporting manager mandatory. • Manager exists. • Employee profile updated.</t>
  </si>
  <si>
    <t>US-057</t>
  </si>
  <si>
    <t>As a Recruiter, I want to assign the department, designation, office location, and employment type during onboarding so that the employee's information is complete before joining.</t>
  </si>
  <si>
    <t>Recruiter assigns: Department Designation Office Location Employment Type during onboarding.</t>
  </si>
  <si>
    <t>Mandatory fields validated. • Assignment reflected in employee profile.</t>
  </si>
  <si>
    <t>US-058</t>
  </si>
  <si>
    <t>As a Recruiter, I want to record the employee's official company email so that future communications use organizational credentials.</t>
  </si>
  <si>
    <t>The system shall allow recruiters to assign or record the official company email after it has been created by the IT team or integrated identity service.</t>
  </si>
  <si>
    <t>Official email recorded. • Email format validated. • Visible in employee profile. • \&gt; Note: Since your project has only three roles, the system records the email rather than implementing IT approval.</t>
  </si>
  <si>
    <t>US-059</t>
  </si>
  <si>
    <t>As a Recruiter, I want to record assigned company assets so that asset ownership is tracked from Day 1.</t>
  </si>
  <si>
    <t>Recruiter can assign: Laptop Monitor Mouse Keyboard ID Card Access Card Each asset shall have: Asset ID Serial Number Assignment Date Return Status</t>
  </si>
  <si>
    <t>Multiple assets supported. • Asset history maintained. • Assignment report available.</t>
  </si>
  <si>
    <t>US-060</t>
  </si>
  <si>
    <t>As a Recruiter, I want to schedule an orientation session by entering the date, time, meeting link, trainer, and agenda so that new employees can attend their onboarding session.</t>
  </si>
  <si>
    <t>Recruiters schedule orientation sessions. Fields: Date Time Meeting Link Trainer Agenda</t>
  </si>
  <si>
    <t>Calendar invitation generated. • Reminder notification sent.</t>
  </si>
  <si>
    <t>US-061</t>
  </si>
  <si>
    <t>As a Recruiter, I want the system to automatically notify candidates when important onboarding events occur so that they stay informed throughout the onboarding process.</t>
  </si>
  <si>
    <t>Automatically notify candidates when: Document approved Document rejected Checklist updated Learning assigned Orientation scheduled Employee activated</t>
  </si>
  <si>
    <t>In-app notifications. • Email notifications. • Notification history maintained.</t>
  </si>
  <si>
    <t>US-062</t>
  </si>
  <si>
    <t>As a Recruiter, I want to view a chronological timeline of onboarding events so that I can easily track a candidate's onboarding progress.</t>
  </si>
  <si>
    <t>Display chronological onboarding events. Examples: Offer Accepted Profile Completed Documents Uploaded OCR Completed Documents Approved NDA Signed Employee Activated</t>
  </si>
  <si>
    <t>Timeline ordered chronologically. • Filters available. • Timestamps displayed.</t>
  </si>
  <si>
    <t>US-063</t>
  </si>
  <si>
    <t>As a Recruiter, I want mandatory onboarding learning to be automatically assigned so that new employees understand company policies and tools before starting work.</t>
  </si>
  <si>
    <t>Upon onboarding, the system automatically assigns mandatory learning modules based on the employee's department or role.</t>
  </si>
  <si>
    <t>Learning assigned automatically. • Candidate notified. • Due date generated. • Progress tracked.</t>
  </si>
  <si>
    <t>Learning Module (Phase 3)</t>
  </si>
  <si>
    <t>US-064</t>
  </si>
  <si>
    <t>As a Recruiter, I want the system to automatically mark onboarding as complete once all mandatory tasks are finished.</t>
  </si>
  <si>
    <t>The system verifies that: Profile Complete Documents Verified NDA Signed Policies Acknowledged Learning Assigned Department Assigned Manager Assigned before completing onboarding.</t>
  </si>
  <si>
    <t>Validation performed. • Completion status updated. • Completion date stored. • Employee notified.</t>
  </si>
  <si>
    <t>US-065</t>
  </si>
  <si>
    <t>As the System, I want to activate the employee account after successful onboarding so that the employee gains access to learning, AI coaching, and reporting modules.</t>
  </si>
  <si>
    <t>After onboarding completion, the candidate role transitions to an active employee profile while still authenticating through the same user account.</t>
  </si>
  <si>
    <t>Account status changed to Active. • Access permissions updated. • Dashboard refreshed. • Welcome notification sent. • Audit log created.</t>
  </si>
  <si>
    <t>`POST /api/employees/activate`</t>
  </si>
  <si>
    <t>US-066</t>
  </si>
  <si>
    <t>Epic 6: Learning Management</t>
  </si>
  <si>
    <t>Learning Management</t>
  </si>
  <si>
    <t>Candidate (Employee)</t>
  </si>
  <si>
    <t>As an Employee, I want to browse all available learning courses so that I can enroll in courses relevant to my role and career growth.</t>
  </si>
  <si>
    <t>The platform shall provide a centralized course catalog displaying all available learning resources. Employees shall be able to browse, search, and filter courses based on categories, departments, skill levels, duration, and instructors. Both internally created and externally linked courses shall be supported.  ||  Database: Courses; Categories</t>
  </si>
  <si>
    <t>Course catalog loads successfully. • Search by title supported. • Filters available. • Course details visible. • Pagination implemented.</t>
  </si>
  <si>
    <t>Only active courses displayed. • Employees only see courses assigned to their organization.</t>
  </si>
  <si>
    <t>`GET /api/learning/courses`</t>
  </si>
  <si>
    <t>US-067</t>
  </si>
  <si>
    <t>As an Employee, I want to view complete course information before enrolling.</t>
  </si>
  <si>
    <t>Display: Course description Learning objectives Instructor Duration Difficulty Skills covered Prerequisites Certificate availability</t>
  </si>
  <si>
    <t>Course details displayed. • Learning outcomes visible. • Enrollment button available.</t>
  </si>
  <si>
    <t>US-068</t>
  </si>
  <si>
    <t>As an Employee, I want to enroll in a course so that I can start learning immediately.</t>
  </si>
  <si>
    <t>Employees shall enroll in self-paced or assigned courses. Enrollment shall update the employee learning dashboard and track progress.</t>
  </si>
  <si>
    <t>Enrollment successful. • Duplicate enrollment prevented. • Learning dashboard updated.</t>
  </si>
  <si>
    <t>`POST /api/learning/enroll`</t>
  </si>
  <si>
    <t>US-069</t>
  </si>
  <si>
    <t>As a Recruiter, I want to assign mandatory learning courses to employees so that onboarding and compliance requirements are fulfilled.</t>
  </si>
  <si>
    <t>Recruiters shall assign learning based on: Department Designation Joining Role Skill Requirements Assignments shall generate due dates and notifications.</t>
  </si>
  <si>
    <t>Multiple employees supported. • Due dates generated. • Notifications sent.</t>
  </si>
  <si>
    <t>US-070</t>
  </si>
  <si>
    <t>As an Employee, I want a dashboard showing my learning progress so that I can track completed and pending courses.</t>
  </si>
  <si>
    <t>Display: Assigned Courses Enrolled Courses Completed Courses Certificates Earned Progress Percentage</t>
  </si>
  <si>
    <t>Dashboard loads. • Progress updates automatically. • Completed courses separated.</t>
  </si>
  <si>
    <t>US-071</t>
  </si>
  <si>
    <t>As an Employee, I want to access videos and learning materials from within the platform.</t>
  </si>
  <si>
    <t>Support: Video Playback PDF Documents Slides External Links Downloadable Resources</t>
  </si>
  <si>
    <t>Videos stream correctly. • Documents open. • Resume playback supported.</t>
  </si>
  <si>
    <t>US-072</t>
  </si>
  <si>
    <t>Track: Time Spent Percentage Completed Last Viewed Lesson Quiz Scores Completion Date</t>
  </si>
  <si>
    <t>Progress saved automatically. • Resume from last position. • Dashboard updated.</t>
  </si>
  <si>
    <t>US-073</t>
  </si>
  <si>
    <t>As an Employee, I want to complete quizzes after courses so that my understanding can be evaluated.</t>
  </si>
  <si>
    <t>Support: MCQs True/False Multiple Select Pass Marks Attempts</t>
  </si>
  <si>
    <t>Score calculated. • Results shown. • Pass/fail determined.</t>
  </si>
  <si>
    <t>US-074</t>
  </si>
  <si>
    <t>Generate certificates after successful course completion.</t>
  </si>
  <si>
    <t>PDF generated. • Download supported. • Certificate stored in employee profile.</t>
  </si>
  <si>
    <t>US-075</t>
  </si>
  <si>
    <t>Notify employees for: New Assignments Due Dates Completed Courses Certificates Overdue Courses</t>
  </si>
  <si>
    <t>Notifications delivered. • Read status maintained.</t>
  </si>
  <si>
    <t>US-076</t>
  </si>
  <si>
    <t>As an Employee, I want to search courses by title, skill, instructor, category, and tags so that I can quickly find the courses I need.</t>
  </si>
  <si>
    <t>Search courses using: Title Skill Instructor Category Tags</t>
  </si>
  <si>
    <t>Fuzzy search. • Instant results. • Pagination.</t>
  </si>
  <si>
    <t>US-077</t>
  </si>
  <si>
    <t>As an Employee, I want to bookmark courses so that I can access them later.</t>
  </si>
  <si>
    <t>Allows employees to save courses for future reference and quickly access bookmarked learning content when needed.</t>
  </si>
  <si>
    <t>Bookmark saved. • Remove bookmark. • Bookmark list displayed.</t>
  </si>
  <si>
    <t>US-078</t>
  </si>
  <si>
    <t>As an Employee, I want AI to recommend learning courses based on my role, skills, and career goals so that I can continuously improve.</t>
  </si>
  <si>
    <t>Gemini analyzes: Employee Role Skills Previous Learning Performance Goals Skill Gaps and recommends personalized learning.  ||  AI Components: Gemini; BGE-M3; LlamaIndex</t>
  </si>
  <si>
    <t>Personalized recommendations generated. • Recommendations refresh periodically. • Employees can enroll directly.</t>
  </si>
  <si>
    <t>US-079</t>
  </si>
  <si>
    <t>As an Employee, I want to know which skills I am missing so that I can improve my career readiness.</t>
  </si>
  <si>
    <t>Compare: Current Skills Required Skills Completed Courses Performance Reviews Generate: Missing Skills Recommended Courses Readiness Score</t>
  </si>
  <si>
    <t>Skill gaps identified. • Courses recommended. • Report generated.</t>
  </si>
  <si>
    <t>US-080</t>
  </si>
  <si>
    <t>As a Recruiter, I want to monitor learning analytics so that I can evaluate employee development.</t>
  </si>
  <si>
    <t>Display: Course Completion Rate Learning Hours Popular Courses Certification Rate Department Comparison</t>
  </si>
  <si>
    <t>Charts displayed. • Export available. • Department filter supported.</t>
  </si>
  <si>
    <t>US-081</t>
  </si>
  <si>
    <t>Epic 7: Performance Management</t>
  </si>
  <si>
    <t>Performance Management</t>
  </si>
  <si>
    <t>As an Employee, I want to view my performance dashboard so that I can monitor my goals, KPIs, reviews, and overall progress.</t>
  </si>
  <si>
    <t>The system shall provide a centralized dashboard displaying the employee's current performance cycle, assigned goals, KPI completion, recent evaluations, performance trends, and AI-generated insights. The dashboard shall update automatically whenever evaluations or goals are modified.  ||  Database: Goals; PerformanceReviews; KPIs</t>
  </si>
  <si>
    <t>Dashboard loads successfully. • Current review cycle displayed. • Goal progress visible. • KPI progress visible. • Recent evaluations displayed. • Performance trend chart displayed.</t>
  </si>
  <si>
    <t>`GET /api/performance/dashboard`</t>
  </si>
  <si>
    <t>US-082</t>
  </si>
  <si>
    <t>As a Recruiter, I want to create performance review cycles so that employee evaluations are conducted consistently.</t>
  </si>
  <si>
    <t>Recruiters shall create performance cycles such as: Quarterly Half-Yearly Annual Custom Each cycle contains: Start Date End Date Evaluation Deadline Status</t>
  </si>
  <si>
    <t>Cycle created. • Multiple cycles supported. • Employees assigned.</t>
  </si>
  <si>
    <t>US-083</t>
  </si>
  <si>
    <t>As a Recruiter, I want to assign goals to employees so that their performance expectations are clearly defined.</t>
  </si>
  <si>
    <t>Goals contain: Goal Title Description Due Date Priority Department Success Criteria Weightage</t>
  </si>
  <si>
    <t>Goal assigned. • Due date mandatory. • Weightage validated.</t>
  </si>
  <si>
    <t>`POST /api/goals`</t>
  </si>
  <si>
    <t>US-084</t>
  </si>
  <si>
    <t>As an Employee, I want to update my goal progress so that my achievements remain current.</t>
  </si>
  <si>
    <t>Employees can: Update percentage Add comments Upload evidence Mark completed</t>
  </si>
  <si>
    <t>Progress updated. • History maintained. • Recruiter notified.</t>
  </si>
  <si>
    <t>US-085</t>
  </si>
  <si>
    <t>As a Recruiter, I want to define KPIs with details such as KPI name, target, measurement unit, weight, and review frequency so that employee performance can be measured effectively.</t>
  </si>
  <si>
    <t>Recruiters define KPIs including: KPI Name Target Measurement Unit Weight Review Frequency</t>
  </si>
  <si>
    <t>KPIs assigned. • Target mandatory. • Weight totals validated.</t>
  </si>
  <si>
    <t>US-086</t>
  </si>
  <si>
    <t>As an Employee, I want to evaluate my own performance before the official review so that I can reflect on my achievements and challenges.</t>
  </si>
  <si>
    <t>Employees answer predefined evaluation questions and provide ratings, comments, and supporting evidence.</t>
  </si>
  <si>
    <t>Questions displayed. • Draft supported. • Final submission locked. • Submission timestamp stored.</t>
  </si>
  <si>
    <t>US-087</t>
  </si>
  <si>
    <t>As a Recruiter, I want to evaluate employee performance so that organizational performance records remain accurate.</t>
  </si>
  <si>
    <t>Recruiters evaluate: Goals KPIs Skills Learning Progress Overall Rating Comments</t>
  </si>
  <si>
    <t>Evaluation submitted. • Ratings calculated. • Employee notified.</t>
  </si>
  <si>
    <t>US-088</t>
  </si>
  <si>
    <t>As a Recruiter, I want the system to calculate overall performance scores using goal achievement, KPI achievement, learning completion, self-evaluation, and recruiter evaluation so that employee performance can be rated accurately.</t>
  </si>
  <si>
    <t>Calculate overall performance score using: Goal Achievement KPI Achievement Learning Completion Self Evaluation Recruiter Evaluation  ||  Rating Scale: Outstanding; Exceeds Expectations; Meets Expectations; Needs Improvement; Unsatisfactory</t>
  </si>
  <si>
    <t>Overall rating calculated. • Rating visible. • History maintained.</t>
  </si>
  <si>
    <t>US-089</t>
  </si>
  <si>
    <t>As an Employee, I want to view my previous performance reviews so that I can understand my long-term growth.</t>
  </si>
  <si>
    <t>Display: Previous Ratings Goal Achievement KPI Results Feedback AI Insights</t>
  </si>
  <si>
    <t>Historical reviews visible. • Filters available. • Export PDF.</t>
  </si>
  <si>
    <t>US-090</t>
  </si>
  <si>
    <t>As an Employee, I want to exchange comments with recruiters during evaluations so that I can provide feedback and discuss evaluation details.</t>
  </si>
  <si>
    <t>Employees and Recruiters can exchange comments during evaluations.</t>
  </si>
  <si>
    <t>Rich text supported. • Timestamps displayed. • Editing disabled after submission.</t>
  </si>
  <si>
    <t>US-091</t>
  </si>
  <si>
    <t>As an Employee, I want to upload evidence such as documents, presentations, reports, and certificates so that I can provide proof of my achievements and work.</t>
  </si>
  <si>
    <t>Employees upload evidence: Documents Presentations Reports Certificates</t>
  </si>
  <si>
    <t>Multiple uploads. • Preview available. • Download supported.</t>
  </si>
  <si>
    <t>US-092</t>
  </si>
  <si>
    <t>As a User, I want to receive notifications for important performance events so that I stay updated on review and evaluation activities.</t>
  </si>
  <si>
    <t>Notify users when: Review starts Evaluation submitted Rating published Goals assigned KPIs updated</t>
  </si>
  <si>
    <t>Email notification. • In-app notification. • Read status maintained.</t>
  </si>
  <si>
    <t>US-093</t>
  </si>
  <si>
    <t>As a Recruiter, I want to view dashboard insights such as average rating, goal completion, KPI achievement, department trends, and top performers so that I can monitor employee performance effectively.</t>
  </si>
  <si>
    <t>Recruiter Dashboard displays: Average Rating Goal Completion KPI Achievement Department Trends Top Performers</t>
  </si>
  <si>
    <t>Graphs generated. • Department filters. • Export available.</t>
  </si>
  <si>
    <t>US-094</t>
  </si>
  <si>
    <t>As an Employee, I want AI to analyze my performance so that I receive personalized insights for improvement.</t>
  </si>
  <si>
    <t>Gemini analyzes: Goals KPIs Learning Skills Previous Reviews Generates: Strengths Weaknesses Recommendations Promotion Readiness Indicators  ||  AI Components: Gemini; BGE-M3; LlamaIndex</t>
  </si>
  <si>
    <t>AI report generated. • Recommendations personalized. • Explainability included. • Report downloadable.</t>
  </si>
  <si>
    <t>US-095</t>
  </si>
  <si>
    <t>As a Recruiter, I want to export employee performance reports so that they can be shared during organizational reviews.</t>
  </si>
  <si>
    <t>Support exporting: PDF Excel Report contains: Goals KPIs Ratings Feedback Learning Summary AI Insights</t>
  </si>
  <si>
    <t>Export generated. • Correct formatting. • Download available.</t>
  </si>
  <si>
    <t>US-096</t>
  </si>
  <si>
    <t>Epic 8: Talent Management</t>
  </si>
  <si>
    <t>Talent Management</t>
  </si>
  <si>
    <t>As an Employee, I want to maintain my skill profile so that the organization can accurately understand my capabilities and recommend suitable learning opportunities and career paths.</t>
  </si>
  <si>
    <t>The system shall maintain a centralized skill matrix for every employee. Skills can be added manually by employees or automatically updated based on completed courses, certifications, projects, and performance evaluations. Each skill shall contain: Skill Name Category Proficiency Level Years of Experience Last Used Date Verification Status  ||  Database: Skills; EmployeeSkills</t>
  </si>
  <si>
    <t>Skills can be added. • Skills can be edited. • Duplicate skills prevented. • Skill proficiency displayed. • Verified skills highlighted.</t>
  </si>
  <si>
    <t>`GET /api/talent/skills` • `POST /api/talent/skills`</t>
  </si>
  <si>
    <t>US-097</t>
  </si>
  <si>
    <t>As a Recruiter, I want skills organized into categories so that employee competencies are easier to analyze.</t>
  </si>
  <si>
    <t>Categories include: Programming Cloud AI &amp; Machine Learning Database Soft Skills Communication Leadership Project Management Security DevOps</t>
  </si>
  <si>
    <t>Categories configurable. • Skills mapped correctly. • Search supported.</t>
  </si>
  <si>
    <t>US-098</t>
  </si>
  <si>
    <t>As an Employee, I want to rate my skills using standardized proficiency levels so that I can accurately represent my current skill level.</t>
  </si>
  <si>
    <t>Employees shall rate each skill using standardized proficiency levels. Levels: Beginner Intermediate Advanced Expert</t>
  </si>
  <si>
    <t>Only valid levels selectable. • Skill matrix updated. • Recruiter can verify proficiency.</t>
  </si>
  <si>
    <t>US-099</t>
  </si>
  <si>
    <t>As an Employee, I want to view my possible career progression so that I understand how I can grow within the organization.</t>
  </si>
  <si>
    <t>Display career progression such as: Junior Developer ↓ Software Engineer ↓ Senior Engineer ↓ Team Lead ↓ Engineering Manager Display required: Skills Certifications Experience Performance Rating Learning Requirements</t>
  </si>
  <si>
    <t>Career roadmap displayed. • Missing requirements highlighted. • Progress percentage calculated.</t>
  </si>
  <si>
    <t>US-100</t>
  </si>
  <si>
    <t xml:space="preserve">As an Employee, I want to view my chronological employee journey so that I can track my career progress and achievements within the organization.
</t>
  </si>
  <si>
    <t>Display chronological employee journey. Timeline includes: Joined Organization Completed Learning Certifications Promotions Performance Reviews Skill Improvements</t>
  </si>
  <si>
    <t>Timeline sorted chronologically. • Filters available. • Events expandable.</t>
  </si>
  <si>
    <t>US-101</t>
  </si>
  <si>
    <t>As an Employee, I want to browse internal opportunities so that I can explore career growth within the organization.</t>
  </si>
  <si>
    <t>Display available: Internal Projects Cross-functional Opportunities Temporary Assignments Open Internal Positions</t>
  </si>
  <si>
    <t>Search available. • Apply button. • Eligibility validated.</t>
  </si>
  <si>
    <t>US-102</t>
  </si>
  <si>
    <t>As an Employee, I want to understand whether I am ready for promotion so that I know what improvements are required.</t>
  </si>
  <si>
    <t>System evaluates: Performance Ratings Learning Completion Certifications Skill Matrix Experience Goals Completed AI generates: Promotion Score Readiness Percentage Missing Skills Missing Certifications  ||  AI Components: Gemini; BGE-M3; LlamaIndex</t>
  </si>
  <si>
    <t>Readiness score generated. • Missing competencies displayed. • Recommendations provided.</t>
  </si>
  <si>
    <t>US-103</t>
  </si>
  <si>
    <t>As an Employee, I want AI to recommend suitable career paths so that I can plan my professional growth effectively.</t>
  </si>
  <si>
    <t>AI analyzes: Skills Learning History Performance Career Interests Organization Structure Generate recommendations: Next Role Suggested Courses Certifications Projects Timeline</t>
  </si>
  <si>
    <t>Personalized recommendations. • Explainable reasoning. • Updated periodically.</t>
  </si>
  <si>
    <t>US-104</t>
  </si>
  <si>
    <t>As an Employee, I want to view my skill gap dashboard so that I can identify missing competencies and understand what I need to learn to achieve my career goals.</t>
  </si>
  <si>
    <t>Display: Current Skills Required Skills Missing Skills Learning Suggestions Readiness Percentage</t>
  </si>
  <si>
    <t>Dashboard updates automatically. • Department comparison available. • Export supported.</t>
  </si>
  <si>
    <t>US-105</t>
  </si>
  <si>
    <t>As a Recruiter, I want to evaluate employee competencies so that talent development decisions are data-driven.</t>
  </si>
  <si>
    <t>Assess competencies: Technical Leadership Communication Collaboration Problem Solving Innovation</t>
  </si>
  <si>
    <t>Competencies scored. • Historical comparison. • Reports generated.</t>
  </si>
  <si>
    <t>US-106</t>
  </si>
  <si>
    <t>As a Recruiter, I want to search employees by skills and competencies so that I can identify suitable talent for projects and future opportunities.</t>
  </si>
  <si>
    <t>Search filters: Skills Certifications Department Experience Performance Rating Learning Progress Powered by MongoDB Atlas Search and BGE-M3 semantic embeddings.</t>
  </si>
  <si>
    <t>Keyword search. • Semantic search. • Multiple filters. • Fast response.</t>
  </si>
  <si>
    <t>US-107</t>
  </si>
  <si>
    <t>As an Employee, I want to view my achievements and accomplishments so that I can track my professional growth and showcase my progress within the organization.</t>
  </si>
  <si>
    <t>Display achievements including: Certifications Awards Completed Projects Learning Milestones Performance Awards</t>
  </si>
  <si>
    <t>Achievements listed. • Timeline view. • Share internally.</t>
  </si>
  <si>
    <t>US-108</t>
  </si>
  <si>
    <t>As a Recruiter, I want to analyze organizational talent metrics so that I can identify workforce strengths, skill shortages, and opportunities for employee development.</t>
  </si>
  <si>
    <t>Recruiter dashboard displays: Skill Distribution High Potential Employees Certification Statistics Promotion Readiness Learning Completion Department Skill Analysis</t>
  </si>
  <si>
    <t>Interactive charts. • Export supported. • Department filter available.</t>
  </si>
  <si>
    <t>US-109</t>
  </si>
  <si>
    <t>As an Employee, I want a structured development plan so that I can achieve my career goals.</t>
  </si>
  <si>
    <t>System generates a roadmap including: Required Skills Courses Certifications Projects Target Timeline Milestones</t>
  </si>
  <si>
    <t>Plan generated. • Editable by Recruiter. • Progress tracked.</t>
  </si>
  <si>
    <t>US-110</t>
  </si>
  <si>
    <t>As a Recruiter, I want a comprehensive talent profile for every employee so that talent decisions are based on complete information.</t>
  </si>
  <si>
    <t>Talent Profile aggregates: Personal Profile Skills Learning History Certifications Performance Ratings Goals Promotion Readiness AI Insights Career Timeline Achievements This becomes the organization's 360° Employee Profile.</t>
  </si>
  <si>
    <t>All modules integrated. • Single unified profile. • Export PDF. • Searchable. • Accessible according to permissions.</t>
  </si>
  <si>
    <t>`GET /api/talent/profile/{employeeId}`</t>
  </si>
  <si>
    <t>US-111</t>
  </si>
  <si>
    <t>Epic 9: AI Coaching &amp; Intelligent Assistance</t>
  </si>
  <si>
    <t>AI Coaching &amp; Intelligent Assistance</t>
  </si>
  <si>
    <t>As an Employee, I want to ask HR-related questions using AI so that I can instantly get accurate answers without waiting for HR support.</t>
  </si>
  <si>
    <t>The platform shall provide an AI-powered HR Assistant capable of answering employee queries using company-specific knowledge. The assistant shall use LlamaIndex (RAG) to retrieve information from internal company documents and Gemini to generate contextual responses. Employees can ask questions about leave policies, onboarding, benefits, company rules, learning resources, and HR procedures.  ||  Example Questions: How many annual leaves do I have?; What is the remote work policy?; How do I apply for leave?; Where can I download my NDA?  ||  AI Stack: Gemini; LlamaIndex; BGE-M3; MongoDB Vector Search</t>
  </si>
  <si>
    <t>AI responds within 5 seconds. • Responses use company documents. • Sources are displayed. • Conversation history maintained. • Unauthorized information is not exposed.</t>
  </si>
  <si>
    <t>`POST /api/ai/hr-assistant`</t>
  </si>
  <si>
    <t>US-112</t>
  </si>
  <si>
    <t>As an Employee, I want personalized career advice so that I can plan my future growth within the organization.</t>
  </si>
  <si>
    <t>AI analyzes: Skills Career History Performance Learning Progress Promotion Readiness Provides: Career Advice Next Role Missing Skills Learning Roadmap</t>
  </si>
  <si>
    <t>Personalized advice. • Explainable recommendations. • Based on employee profile.</t>
  </si>
  <si>
    <t>US-113</t>
  </si>
  <si>
    <t>As an Employee, I want AI to recommend personalized learning resources based on my goals, skills, and career aspirations so that I can continuously improve my knowledge and competencies</t>
  </si>
  <si>
    <t>AI recommends: Courses Certifications Books Internal Learning Learning Sequence based on employee goals.</t>
  </si>
  <si>
    <t>Recommendations updated. • Courses ranked. • Employee can enroll directly.</t>
  </si>
  <si>
    <t>US-114</t>
  </si>
  <si>
    <t>As an Employee, I want AI to explain my performance and provide improvement suggestions.</t>
  </si>
  <si>
    <t>Analyze: Goals KPIs Reviews Skills Learning Generate: Strengths Weaknesses Improvement Plan</t>
  </si>
  <si>
    <t>Performance summary generated. • Actionable recommendations. • Easy-to-read report.</t>
  </si>
  <si>
    <t>US-115</t>
  </si>
  <si>
    <t>As an Employee, I want AI to generate SMART goals based on my role and career aspirations.</t>
  </si>
  <si>
    <t>Generate goals that are: Specific Measurable Achievable Relevant Time-bound</t>
  </si>
  <si>
    <t>SMART format. • Editable. • Multiple suggestions.</t>
  </si>
  <si>
    <t>US-116</t>
  </si>
  <si>
    <t>As an Employee, I want AI to review my resume and provide improvement suggestions so that I can maintain an up-to-date and professional resume for career growth and internal opportunities.</t>
  </si>
  <si>
    <t>Employees upload resumes. AI reviews: Grammar Skills ATS Compatibility Missing Sections Improvements</t>
  </si>
  <si>
    <t>Resume score. • Suggestions. • Downloadable report.</t>
  </si>
  <si>
    <t>US-117</t>
  </si>
  <si>
    <t>As an Employee, I want to search company policies using natural language so that I can quickly find accurate information without manually browsing lengthy documents.</t>
  </si>
  <si>
    <t>Employees search policies using natural language. Example: "What is maternity leave?" AI searches indexed company documents using: LlamaIndex BGE-M3</t>
  </si>
  <si>
    <t>Semantic search. • Sources displayed. • Accurate retrieval.</t>
  </si>
  <si>
    <t>US-118</t>
  </si>
  <si>
    <t>As an Employee, I want AI to summarize uploaded documents so that I can quickly understand important information without reading the entire document.</t>
  </si>
  <si>
    <t>Employees upload documents. AI summarizes: Contracts Policies Certificates Reports Generates: Summary Key Points Action Items</t>
  </si>
  <si>
    <t>Summary generated. • Important clauses extracted. • Download supported.</t>
  </si>
  <si>
    <t>US-119</t>
  </si>
  <si>
    <t>As an Employee, I want my AI conversation history to be stored so that I can revisit previous discussions and continue conversations whenever needed.</t>
  </si>
  <si>
    <t>Maintain chat history. Support: Search Delete Continue Conversations</t>
  </si>
  <si>
    <t>History saved. • Search available. • User-specific storage.</t>
  </si>
  <si>
    <t>US-120</t>
  </si>
  <si>
    <t>As an Employee, I want the AI assistant to remember the context of my current conversation so that follow-up questions can be answered more accurately and naturally.</t>
  </si>
  <si>
    <t>AI remembers recent conversation context within the session to provide more natural follow-up responses.</t>
  </si>
  <si>
    <t>Context retained. • Follow-up supported. • Session expires securely.</t>
  </si>
  <si>
    <t>US-121</t>
  </si>
  <si>
    <t>As an Employee, I want to rate AI responses and provide feedback so that the quality and usefulness of AI recommendations can continuously improve.</t>
  </si>
  <si>
    <t>Employees can rate AI responses. Ratings: Helpful Not Helpful Optional feedback text.</t>
  </si>
  <si>
    <t>Rating stored. • Analytics updated.</t>
  </si>
  <si>
    <t>US-122</t>
  </si>
  <si>
    <t>As an Employee, I want predefined AI prompt templates so that I can quickly access common AI features without having to write detailed prompts myself.</t>
  </si>
  <si>
    <t>Provide predefined prompts. Examples: Review my performance Recommend courses Explain my promotion readiness Generate career roadmap Help me prepare goals</t>
  </si>
  <si>
    <t>Templates visible. • One-click execution.</t>
  </si>
  <si>
    <t>US-123</t>
  </si>
  <si>
    <t>As an Employee, I want to receive notifications about AI-generated reports, recommendations, and career updates so that I stay informed about important AI activities related to my development.</t>
  </si>
  <si>
    <t>Notify users when: AI Report Ready Learning Suggested Goal Generated Career Plan Updated</t>
  </si>
  <si>
    <t>Notification delivered. • Deep link supported.</t>
  </si>
  <si>
    <t>US-124</t>
  </si>
  <si>
    <t>As a Recruiter, I want to monitor AI usage analytics so that I can evaluate adoption, identify popular AI features, and measure the effectiveness of AI services across the organization.</t>
  </si>
  <si>
    <t>Display: Total AI Requests Most Used Features Popular Prompts Average Response Time User Satisfaction</t>
  </si>
  <si>
    <t>Charts displayed. • Export supported.</t>
  </si>
  <si>
    <t>US-125</t>
  </si>
  <si>
    <t>As a Recruiter, I want AI to summarize an employee's overall development so that I can quickly understand their progress without manually reviewing multiple modules.</t>
  </si>
  <si>
    <t>AI combines information from: Employee Profile Skills Learning Performance Goals Career Progress AI Coaching Sessions Generates a concise executive summary including: Current strengths Areas for improvement Recommended next steps Promotion readiness Overall development status  ||  AI Components: Gemini; LlamaIndex; BGE-M3</t>
  </si>
  <si>
    <t>Summary generated on demand. • Based only on employee data. • Downloadable as PDF. • Explainable recommendations provided.</t>
  </si>
  <si>
    <t>US-126</t>
  </si>
  <si>
    <t>Epic 10: Reporting, Analytics &amp; Executive Dashboards</t>
  </si>
  <si>
    <t>Reporting, Analytics &amp; Executive Dashboards</t>
  </si>
  <si>
    <t>As a Recruiter, I want to access a centralized HR dashboard so that I can monitor workforce activities, onboarding progress, learning status, and overall employee performance from a single location.</t>
  </si>
  <si>
    <t>The HR Dashboard shall aggregate key organizational metrics from all modules and present them through interactive KPI cards, charts, and tables. Data shall refresh automatically and support filtering by department, location, and date range.  ||  Dashboard Widgets: Total Employees; Active Employees; Employees Onboarding; Completed Onboarding; Pending Document Verification; Learning Completion Rate; Performance Review Completion; AI Coach Usage; Recent Activities; Upcoming Tasks</t>
  </si>
  <si>
    <t>Dashboard loads within 3 seconds. • KPI cards display real-time values. • Department filters work correctly. • Charts update dynamically. • Dashboard is responsive.</t>
  </si>
  <si>
    <t>`GET /api/reports/hr-dashboard`</t>
  </si>
  <si>
    <t>US-127</t>
  </si>
  <si>
    <t>Super Admin</t>
  </si>
  <si>
    <t>As a Super Admin, I want to monitor organization-wide metrics through an executive dashboard so that strategic decisions can be made using real-time insights.</t>
  </si>
  <si>
    <t>Executive dashboard displays Total Workforce Organization Growth Department Distribution Learning Statistics Skill Distribution Promotion Readiness AI Adoption Organization Health Score Workforce Analytics</t>
  </si>
  <si>
    <t>Interactive charts. • Real-time updates. • Export available. • Mobile responsive.</t>
  </si>
  <si>
    <t>US-128</t>
  </si>
  <si>
    <t>As a Recruiter, I want to view employee analytics dashboards so that I can monitor workforce growth, distribution, and organizational trends for better planning and decision-making.</t>
  </si>
  <si>
    <t>Display Employee Count Joining Trend Department Distribution Employment Types Office Locations Employee Growth</t>
  </si>
  <si>
    <t>Line charts. • Pie charts. • Export supported.</t>
  </si>
  <si>
    <t>US-129</t>
  </si>
  <si>
    <t>As a Recruiter, I want onboarding analytics so that I can identify delays and optimize the employee onboarding process.</t>
  </si>
  <si>
    <t>Analytics include Average Onboarding Time Pending Documents Verification Time Checklist Completion Drop-off Rate Completion Percentage</t>
  </si>
  <si>
    <t>Interactive dashboard. • Date filters. • Export CSV/PDF.</t>
  </si>
  <si>
    <t>US-130</t>
  </si>
  <si>
    <t>As a Recruiter, I want to generate learning reports so that I can monitor employee learning progress, course completion, and overall training effectiveness.</t>
  </si>
  <si>
    <t>Reports include Course Completion Average Learning Hours Certificates Earned Department Learning Progress Most Popular Courses Skill Improvement</t>
  </si>
  <si>
    <t>Filters available. • Export supported. • Charts generated.</t>
  </si>
  <si>
    <t>US-131</t>
  </si>
  <si>
    <t>As a Recruiter, I want to generate performance reports so that I can evaluate employee performance, identify high performers, and support organizational decision-making.</t>
  </si>
  <si>
    <t>Generate reports containing Goal Completion KPI Achievement Employee Ratings Department Performance High Performers Improvement Areas</t>
  </si>
  <si>
    <t>Report generated. • Download PDF/Excel. • Scheduled reports supported.</t>
  </si>
  <si>
    <t>US-132</t>
  </si>
  <si>
    <t>As a Recruiter, I want to analyze talent data across the organization so that I can identify high-potential employees, monitor promotion readiness, and support workforce planning.</t>
  </si>
  <si>
    <t>Recruiters shall view Skill Distribution Promotion Readiness Certification Statistics High Potential Employees Career Progression Internal Mobility</t>
  </si>
  <si>
    <t>Charts displayed. • Department comparison. • Search available.</t>
  </si>
  <si>
    <t>US-133</t>
  </si>
  <si>
    <t>As a Super Admin, I want AI-generated organizational insights so that leadership can identify workforce trends and make informed decisions.</t>
  </si>
  <si>
    <t>Gemini shall analyze organization-wide data and generate insights such as Skill shortages Learning effectiveness Promotion readiness Employee engagement indicators Performance trends Workforce development recommendations  ||  AI Components: Gemini; LlamaIndex; MongoDB Aggregation</t>
  </si>
  <si>
    <t>AI insights generated. • Explainable recommendations. • Historical comparisons. • Downloadable summary.</t>
  </si>
  <si>
    <t>US-134</t>
  </si>
  <si>
    <t>As a Recruiter, I want to perform semantic searches across organizational data so that I can quickly locate employees, documents, learning records, and reports using natural language queries.</t>
  </si>
  <si>
    <t>Provide search across Employees Learning Documents Skills Policies Reports using semantic search.</t>
  </si>
  <si>
    <t>Fast response. • Relevant ranking. • Recent searches stored.</t>
  </si>
  <si>
    <t>US-135</t>
  </si>
  <si>
    <t>As a Super Admin, I want to build custom reports so that organizational data can be analyzed according to business requirements.</t>
  </si>
  <si>
    <t>Users can select Data Source Fields Filters Charts Export Format</t>
  </si>
  <si>
    <t>Drag-and-drop builder. • Save report templates. • Export PDF/Excel.</t>
  </si>
  <si>
    <t>US-136</t>
  </si>
  <si>
    <t>As a Recruiter, I want to export reports in multiple formats so that organizational data can be shared, archived, or analyzed using external tools.</t>
  </si>
  <si>
    <t>Export reports in PDF Excel CSV</t>
  </si>
  <si>
    <t>Formatting preserved. • Download successful. • Large reports supported.</t>
  </si>
  <si>
    <t>US-137</t>
  </si>
  <si>
    <t>As a Recruiter, I want reports to be generated and delivered automatically on a scheduled basis so that stakeholders receive regular business insights without manual effort.</t>
  </si>
  <si>
    <t>Automatically email reports Daily Weekly Monthly</t>
  </si>
  <si>
    <t>Scheduler configurable. • Email delivered. • History maintained.</t>
  </si>
  <si>
    <t>US-138</t>
  </si>
  <si>
    <t>As a Super Admin, I want to track every important activity performed in the platform so that security, compliance, and accountability are maintained.</t>
  </si>
  <si>
    <t>Log Login Logout Document Upload Employee Creation Learning Assignment Performance Review AI Usage Report Export Role Changes Profile Updates Each log shall contain User Timestamp IP Address Module Action Status</t>
  </si>
  <si>
    <t>Immutable logs. • Searchable. • Export supported. • Retention policy configurable.</t>
  </si>
  <si>
    <t>US-139</t>
  </si>
  <si>
    <t>As a User, I want a centralized notification center so that I can view, manage, and respond to all important system notifications from a single location.</t>
  </si>
  <si>
    <t>Central notification center displaying Document Updates Learning Assignments Performance Reviews AI Reports Organization Announcements</t>
  </si>
  <si>
    <t>Notifications categorized. • Mark as read. • Search. • Filters.</t>
  </si>
  <si>
    <t>US-140</t>
  </si>
  <si>
    <t>As a Super Admin, I want to configure organization-wide settings so that the Talent platform can be customized according to organizational policies and requirements.</t>
  </si>
  <si>
    <t>The system shall provide a centralized administration panel for managing platform settings, organizational preferences, AI configuration, security policies, branding, and integrations. Configuration includes:  ||  Organization Settings: Organization Name; Company Logo; Time Zone; Working Days; Currency; Language; Date Format  ||  Security Settings: Password Policy; Session Timeout; MFA Configuration (Future); Login Restrictions  ||  AI Settings: Gemini API Key; AI Prompt Templates; AI Usage Limits; Knowledge Base Refresh  ||  Learning Settings: Certificate Templates; Passing Percentage; Default Learning Paths  ||  Notification Settings: Email Templates; Reminder Frequency; Notification Preferences  ||  Storage Settings: Supabase Storage Configuration; File Size Limits; Allowed File Types  ||  System Settings: Backup Configuration; Maintenance Mode; Audit Retention; API Keys</t>
  </si>
  <si>
    <t>Settings saved successfully. • Changes audited. • Validation enforced. • Configuration applied without restart where applicable. • Only Super Admin has access.</t>
  </si>
  <si>
    <t>`GET /api/settings` • `PUT /api/settings`</t>
  </si>
  <si>
    <t>TC ID</t>
  </si>
  <si>
    <t>Module</t>
  </si>
  <si>
    <t>Test Scenario</t>
  </si>
  <si>
    <t>Type</t>
  </si>
  <si>
    <t>Preconditions</t>
  </si>
  <si>
    <t>Test Steps</t>
  </si>
  <si>
    <t>Expected Result</t>
  </si>
  <si>
    <t>Status</t>
  </si>
  <si>
    <t>TC-0001</t>
  </si>
  <si>
    <t>Recruiter Registration - Verify complete end-to-end flow with valid data</t>
  </si>
  <si>
    <t>Recruiter has access to the registration page. Recruiter does not already have an account.</t>
  </si>
  <si>
    <t>1. Open Registration page.
2. Enter Full Name.
3. Enter Company Email.
4. Enter Phone Number.
5. Enter Password.
6. Confirm Password.
7. Accept Terms &amp; Conditions.
8. Click Register.
9. Validate input.
10. Create account.
11. Send verification email.
12. Display success message.</t>
  </si>
  <si>
    <t>All steps execute successfully; feature completes as described in the user story without errors.</t>
  </si>
  <si>
    <t>TC-0002</t>
  </si>
  <si>
    <t>Recruiter Registration - Given valid information, when Register is clicked, then recruiter account is created.</t>
  </si>
  <si>
    <t>1. Set up preconditions: Recruiter has access to the registration page. Recruiter does not already have an account.
2. Perform the action described: "Given valid information, when Register is clicked, then recruiter account is created."
3. Observe system behaviour.</t>
  </si>
  <si>
    <t>System behaves exactly as specified: Given valid information, when Register is clicked, then recruiter account is created.</t>
  </si>
  <si>
    <t>TC-0003</t>
  </si>
  <si>
    <t>Recruiter Registration - Given duplicate email, when Register is clicked, then duplicate email message is displayed.</t>
  </si>
  <si>
    <t>1. Set up preconditions: Recruiter has access to the registration page. Recruiter does not already have an account.
2. Perform the action described: "Given duplicate email, when Register is clicked, then duplicate email message is displayed."
3. Observe system behaviour.</t>
  </si>
  <si>
    <t>System behaves exactly as specified: Given duplicate email, when Register is clicked, then duplicate email message is displayed.</t>
  </si>
  <si>
    <t>TC-0004</t>
  </si>
  <si>
    <t>Recruiter Registration - Given weak password, when Register is clicked, then registration is blocked.</t>
  </si>
  <si>
    <t>1. Set up preconditions: Recruiter has access to the registration page. Recruiter does not already have an account.
2. Perform the action described: "Given weak password, when Register is clicked, then registration is blocked."
3. Observe system behaviour.</t>
  </si>
  <si>
    <t>System behaves exactly as specified: Given weak password, when Register is clicked, then registration is blocked.</t>
  </si>
  <si>
    <t>TC-0005</t>
  </si>
  <si>
    <t>Recruiter Registration - Given successful registration, then verification email is sent.</t>
  </si>
  <si>
    <t>1. Set up preconditions: Recruiter has access to the registration page. Recruiter does not already have an account.
2. Perform the action described: "Given successful registration, then verification email is sent."
3. Observe system behaviour.</t>
  </si>
  <si>
    <t>System behaves exactly as specified: Given successful registration, then verification email is sent.</t>
  </si>
  <si>
    <t>TC-0006</t>
  </si>
  <si>
    <t>Recruiter Registration - Recruiter cannot login until email is verified.</t>
  </si>
  <si>
    <t>1. Set up preconditions: Recruiter has access to the registration page. Recruiter does not already have an account.
2. Perform the action described: "Recruiter cannot login until email is verified."
3. Observe system behaviour.</t>
  </si>
  <si>
    <t>System behaves exactly as specified: Recruiter cannot login until email is verified.</t>
  </si>
  <si>
    <t>TC-0007</t>
  </si>
  <si>
    <t>Recruiter Registration - Business rule enforcement: Company email must be unique.</t>
  </si>
  <si>
    <t>1. Recruiter has access to the registration page. Recruiter does not already have an account.
2. Perform an action that would violate the rule: "Company email must be unique."
3. Submit / confirm the action.</t>
  </si>
  <si>
    <t>System enforces business rule and prevents violation: Company email must be unique.</t>
  </si>
  <si>
    <t>TC-0008</t>
  </si>
  <si>
    <t>Recruiter Registration - Boundary check: Password minimum 8 characters. (value = 8 character)</t>
  </si>
  <si>
    <t>1. Recruiter has access to the registration page. Recruiter does not already have an account.
2. Attempt the action with the value exactly at the limit (8 character).
3. Attempt the action with the value one unit below the limit.
4. Attempt the action with the value one unit above the limit.</t>
  </si>
  <si>
    <t>System enforces the rule 'Password minimum 8 characters.' correctly at, below, and above the boundary value.</t>
  </si>
  <si>
    <t>TC-0009</t>
  </si>
  <si>
    <t>Recruiter Registration - Business rule enforcement: Password must contain uppercase, lowercase, number, and special character.</t>
  </si>
  <si>
    <t>1. Recruiter has access to the registration page. Recruiter does not already have an account.
2. Perform an action that would violate the rule: "Password must contain uppercase, lowercase, number, and special character."
3. Submit / confirm the action.</t>
  </si>
  <si>
    <t>System enforces business rule and prevents violation: Password must contain uppercase, lowercase, number, and special character.</t>
  </si>
  <si>
    <t>TC-0010</t>
  </si>
  <si>
    <t>Recruiter Registration - Business rule enforcement: Email verification mandatory.</t>
  </si>
  <si>
    <t>1. Recruiter has access to the registration page. Recruiter does not already have an account.
2. Perform an action that would violate the rule: "Email verification mandatory."
3. Submit / confirm the action.</t>
  </si>
  <si>
    <t>System enforces business rule and prevents violation: Email verification mandatory.</t>
  </si>
  <si>
    <t>TC-0011</t>
  </si>
  <si>
    <t>Recruiter Registration - Input validation: Email format validation.</t>
  </si>
  <si>
    <t>1. Recruiter has access to the registration page. Recruiter does not already have an account.
2. Enter data that violates the validation rule: "Email format validation."
3. Submit the form.</t>
  </si>
  <si>
    <t>System rejects the invalid input and displays an appropriate validation error for: Email format validation.</t>
  </si>
  <si>
    <t>TC-0012</t>
  </si>
  <si>
    <t>Recruiter Registration - Input validation: Password confirmation must match.</t>
  </si>
  <si>
    <t>1. Recruiter has access to the registration page. Recruiter does not already have an account.
2. Enter data that violates the validation rule: "Password confirmation must match."
3. Submit the form.</t>
  </si>
  <si>
    <t>System rejects the invalid input and displays an appropriate validation error for: Password confirmation must match.</t>
  </si>
  <si>
    <t>TC-0013</t>
  </si>
  <si>
    <t>Recruiter Registration - Input validation: Mandatory fields cannot be empty.</t>
  </si>
  <si>
    <t>1. Recruiter has access to the registration page. Recruiter does not already have an account.
2. Enter data that violates the validation rule: "Mandatory fields cannot be empty."
3. Submit the form.</t>
  </si>
  <si>
    <t>System rejects the invalid input and displays an appropriate validation error for: Mandatory fields cannot be empty.</t>
  </si>
  <si>
    <t>TC-0014</t>
  </si>
  <si>
    <t>Recruiter Registration - Field validation for 'Full Name' left empty</t>
  </si>
  <si>
    <t>1. Recruiter has access to the registration page. Recruiter does not already have an account.
2. Leave the 'Full Name' field empty.
3. Attempt to submit the form.</t>
  </si>
  <si>
    <t>System displays a mandatory field error for 'Full Name' and blocks submission if the field is required.</t>
  </si>
  <si>
    <t>TC-0015</t>
  </si>
  <si>
    <t>Recruiter Registration - 'Full Name' handles special characters and script injection safely</t>
  </si>
  <si>
    <t>1. Recruiter has access to the registration page. Recruiter does not already have an account.
2. Enter special characters and script-like text in 'Full Name'.
3. Submit the form.</t>
  </si>
  <si>
    <t>System sanitizes or safely escapes the input; no script execution or database error occurs.</t>
  </si>
  <si>
    <t>TC-0016</t>
  </si>
  <si>
    <t>Recruiter Registration - 'Full Name' enforces maximum field length</t>
  </si>
  <si>
    <t>1. Recruiter has access to the registration page. Recruiter does not already have an account.
2. Enter a value exceeding the maximum allowed length in 'Full Name'.
3. Submit the form.</t>
  </si>
  <si>
    <t>System truncates, rejects, or displays a validation error for the oversized input.</t>
  </si>
  <si>
    <t>TC-0017</t>
  </si>
  <si>
    <t>Recruiter Registration - Field validation for 'Company Email' left empty</t>
  </si>
  <si>
    <t>1. Recruiter has access to the registration page. Recruiter does not already have an account.
2. Leave the 'Company Email' field empty.
3. Attempt to submit the form.</t>
  </si>
  <si>
    <t>System displays a mandatory field error for 'Company Email' and blocks submission if the field is required.</t>
  </si>
  <si>
    <t>TC-0018</t>
  </si>
  <si>
    <t>Recruiter Registration - 'Company Email' rejects malformed email address</t>
  </si>
  <si>
    <t>1. Recruiter has access to the registration page. Recruiter does not already have an account.
2. Enter an invalid email format in 'Company Email'.
3. Submit the form.</t>
  </si>
  <si>
    <t>System displays an email format validation error and blocks submission.</t>
  </si>
  <si>
    <t>TC-0019</t>
  </si>
  <si>
    <t>Recruiter Registration - Field validation for 'Phone Number' left empty</t>
  </si>
  <si>
    <t>1. Recruiter has access to the registration page. Recruiter does not already have an account.
2. Leave the 'Phone Number' field empty.
3. Attempt to submit the form.</t>
  </si>
  <si>
    <t>System displays a mandatory field error for 'Phone Number' and blocks submission if the field is required.</t>
  </si>
  <si>
    <t>TC-0020</t>
  </si>
  <si>
    <t>Recruiter Registration - 'Phone Number' rejects invalid phone number format</t>
  </si>
  <si>
    <t>1. Recruiter has access to the registration page. Recruiter does not already have an account.
2. Enter an invalid phone number (letters/symbols) in 'Phone Number'.
3. Submit the form.</t>
  </si>
  <si>
    <t>System displays a phone format validation error and blocks submission.</t>
  </si>
  <si>
    <t>TC-0021</t>
  </si>
  <si>
    <t>Recruiter Registration - Field validation for 'Password' left empty</t>
  </si>
  <si>
    <t>1. Recruiter has access to the registration page. Recruiter does not already have an account.
2. Leave the 'Password' field empty.
3. Attempt to submit the form.</t>
  </si>
  <si>
    <t>System displays a mandatory field error for 'Password' and blocks submission if the field is required.</t>
  </si>
  <si>
    <t>TC-0022</t>
  </si>
  <si>
    <t>Recruiter Registration - 'Password' rejects weak password not meeting complexity rules</t>
  </si>
  <si>
    <t>1. Recruiter has access to the registration page. Recruiter does not already have an account.
2. Enter a weak password (e.g. 'abc123') in 'Password'.
3. Submit the form.</t>
  </si>
  <si>
    <t>System rejects the weak password and displays a complexity error message.</t>
  </si>
  <si>
    <t>TC-0023</t>
  </si>
  <si>
    <t>Recruiter Registration - Field validation for 'Confirm Password' left empty</t>
  </si>
  <si>
    <t>1. Recruiter has access to the registration page. Recruiter does not already have an account.
2. Leave the 'Confirm Password' field empty.
3. Attempt to submit the form.</t>
  </si>
  <si>
    <t>System displays a mandatory field error for 'Confirm Password' and blocks submission if the field is required.</t>
  </si>
  <si>
    <t>TC-0024</t>
  </si>
  <si>
    <t>Recruiter Registration - API 'POST /api/auth/register' returns success for valid authorized request</t>
  </si>
  <si>
    <t>1. Obtain a valid authentication token for role 'Recruiter'.
2. Send request: POST /api/auth/register with valid payload/parameters.
3. Inspect the response.</t>
  </si>
  <si>
    <t>API returns HTTP 200/201 with the expected payload and persists/retrieves data correctly.</t>
  </si>
  <si>
    <t>TC-0025</t>
  </si>
  <si>
    <t>Recruiter Registration - API 'POST /api/auth/register' rejects unauthorized/unauthenticated request</t>
  </si>
  <si>
    <t>1. Send request: POST /api/auth/register without a valid authentication token.
2. Inspect the response.</t>
  </si>
  <si>
    <t>API returns HTTP 401 (Unauthorized) or 403 (Forbidden) and does not leak data.</t>
  </si>
  <si>
    <t>TC-0026</t>
  </si>
  <si>
    <t>Recruiter Registration - API 'POST /api/auth/register' handles invalid/malformed payload</t>
  </si>
  <si>
    <t>1. Obtain a valid authentication token for role 'Recruiter'.
2. Send request: POST /api/auth/register with missing required fields or malformed JSON.
3. Inspect the response.</t>
  </si>
  <si>
    <t>API returns HTTP 400 (Bad Request) with a descriptive validation error and does not persist bad data.</t>
  </si>
  <si>
    <t>TC-0027</t>
  </si>
  <si>
    <t>Recruiter Registration - API 'POST /api/auth/register' handles non-existent resource gracefully</t>
  </si>
  <si>
    <t>1. Obtain a valid authentication token for role 'Recruiter'.
2. Send request: POST /api/auth/register referencing an ID that does not exist.
3. Inspect the response.</t>
  </si>
  <si>
    <t>API returns HTTP 404 (Not Found) with a clear error message.</t>
  </si>
  <si>
    <t>TC-0028</t>
  </si>
  <si>
    <t>Recruiter Registration - Access denied for unauthorized role (Super Admin)</t>
  </si>
  <si>
    <t>Super Admin account exists and is authenticated.</t>
  </si>
  <si>
    <t>1. Log in as Super Admin.
2. Attempt to access/perform: "Recruiter Registration".</t>
  </si>
  <si>
    <t>System denies access (HTTP 403 / hidden UI) since this feature is restricted to the 'Recruiter' role.</t>
  </si>
  <si>
    <t>TC-0029</t>
  </si>
  <si>
    <t>Recruiter Registration - Access denied for unauthorized role (Candidate)</t>
  </si>
  <si>
    <t>Candidate account exists and is authenticated.</t>
  </si>
  <si>
    <t>1. Log in as Candidate.
2. Attempt to access/perform: "Recruiter Registration".</t>
  </si>
  <si>
    <t>TC-0030</t>
  </si>
  <si>
    <t>Recruiter Registration - Prevents duplicate submission on repeated/rapid clicks</t>
  </si>
  <si>
    <t>1. Recruiter has access to the registration page. Recruiter does not already have an account.
2. Fill valid data and click Submit/Save multiple times in quick succession or use double-click.
3. Observe the result.</t>
  </si>
  <si>
    <t>System processes the action only once; no duplicate records are created and the button is disabled during processing.</t>
  </si>
  <si>
    <t>TC-0031</t>
  </si>
  <si>
    <t>Recruiter Email Verification - Verify complete end-to-end flow with valid data</t>
  </si>
  <si>
    <t>Recruiter account exists and is authenticated where applicable.</t>
  </si>
  <si>
    <t>1. Registration completed.
2. Verification email sent.
3. Recruiter clicks verification link.
4. Token validated.
5. Account activated.
6. Success message displayed.</t>
  </si>
  <si>
    <t>TC-0032</t>
  </si>
  <si>
    <t>Recruiter Email Verification - Verification email generated.</t>
  </si>
  <si>
    <t>1. Set up preconditions: Recruiter account exists and is authenticated where applicable.
2. Perform the action described: "Verification email generated."
3. Observe system behaviour.</t>
  </si>
  <si>
    <t>System behaves exactly as specified: Verification email generated.</t>
  </si>
  <si>
    <t>TC-0033</t>
  </si>
  <si>
    <t>Recruiter Email Verification - Token expires after 24 hours.</t>
  </si>
  <si>
    <t>1. Set up preconditions: Recruiter account exists and is authenticated where applicable.
2. Perform the action described: "Token expires after 24 hours."
3. Observe system behaviour.</t>
  </si>
  <si>
    <t>System behaves exactly as specified: Token expires after 24 hours.</t>
  </si>
  <si>
    <t>TC-0034</t>
  </si>
  <si>
    <t>Recruiter Email Verification - Expired token displays appropriate message.</t>
  </si>
  <si>
    <t>1. Set up preconditions: Recruiter account exists and is authenticated where applicable.
2. Perform the action described: "Expired token displays appropriate message."
3. Observe system behaviour.</t>
  </si>
  <si>
    <t>System behaves exactly as specified: Expired token displays appropriate message.</t>
  </si>
  <si>
    <t>TC-0035</t>
  </si>
  <si>
    <t>Recruiter Email Verification - Verification activates account.</t>
  </si>
  <si>
    <t>1. Set up preconditions: Recruiter account exists and is authenticated where applicable.
2. Perform the action described: "Verification activates account."
3. Observe system behaviour.</t>
  </si>
  <si>
    <t>System behaves exactly as specified: Verification activates account.</t>
  </si>
  <si>
    <t>TC-0036</t>
  </si>
  <si>
    <t>Recruiter Email Verification - Token cannot be reused.</t>
  </si>
  <si>
    <t>1. Set up preconditions: Recruiter account exists and is authenticated where applicable.
2. Perform the action described: "Token cannot be reused."
3. Observe system behaviour.</t>
  </si>
  <si>
    <t>System behaves exactly as specified: Token cannot be reused.</t>
  </si>
  <si>
    <t>TC-0037</t>
  </si>
  <si>
    <t>Recruiter Email Verification - Boundary check: Verification link valid for 24 hours. (value = 24 hour)</t>
  </si>
  <si>
    <t>1. Recruiter account exists and is authenticated where applicable.
2. Attempt the action with the value exactly at the limit (24 hour).
3. Attempt the action with the value one unit below the limit.
4. Attempt the action with the value one unit above the limit.</t>
  </si>
  <si>
    <t>System enforces the rule 'Verification link valid for 24 hours.' correctly at, below, and above the boundary value.</t>
  </si>
  <si>
    <t>TC-0038</t>
  </si>
  <si>
    <t>Recruiter Email Verification - Business rule enforcement: One-time use only.</t>
  </si>
  <si>
    <t>1. Recruiter account exists and is authenticated where applicable.
2. Perform an action that would violate the rule: "One-time use only."
3. Submit / confirm the action.</t>
  </si>
  <si>
    <t>System enforces business rule and prevents violation: One-time use only.</t>
  </si>
  <si>
    <t>TC-0039</t>
  </si>
  <si>
    <t>Recruiter Email Verification - API 'POST /api/auth/verify-email' returns success for valid authorized request</t>
  </si>
  <si>
    <t>1. Obtain a valid authentication token for role 'Recruiter'.
2. Send request: POST /api/auth/verify-email with valid payload/parameters.
3. Inspect the response.</t>
  </si>
  <si>
    <t>TC-0040</t>
  </si>
  <si>
    <t>Recruiter Email Verification - API 'POST /api/auth/verify-email' rejects unauthorized/unauthenticated request</t>
  </si>
  <si>
    <t>1. Send request: POST /api/auth/verify-email without a valid authentication token.
2. Inspect the response.</t>
  </si>
  <si>
    <t>TC-0041</t>
  </si>
  <si>
    <t>Recruiter Email Verification - API 'POST /api/auth/verify-email' handles invalid/malformed payload</t>
  </si>
  <si>
    <t>1. Obtain a valid authentication token for role 'Recruiter'.
2. Send request: POST /api/auth/verify-email with missing required fields or malformed JSON.
3. Inspect the response.</t>
  </si>
  <si>
    <t>TC-0042</t>
  </si>
  <si>
    <t>Recruiter Email Verification - API 'POST /api/auth/verify-email' handles non-existent resource gracefully</t>
  </si>
  <si>
    <t>1. Obtain a valid authentication token for role 'Recruiter'.
2. Send request: POST /api/auth/verify-email referencing an ID that does not exist.
3. Inspect the response.</t>
  </si>
  <si>
    <t>TC-0043</t>
  </si>
  <si>
    <t>Recruiter Email Verification - Access denied for unauthorized role (Super Admin)</t>
  </si>
  <si>
    <t>1. Log in as Super Admin.
2. Attempt to access/perform: "Recruiter Email Verification".</t>
  </si>
  <si>
    <t>TC-0044</t>
  </si>
  <si>
    <t>Recruiter Email Verification - Access denied for unauthorized role (Candidate)</t>
  </si>
  <si>
    <t>1. Log in as Candidate.
2. Attempt to access/perform: "Recruiter Email Verification".</t>
  </si>
  <si>
    <t>TC-0045</t>
  </si>
  <si>
    <t>Resend Verification Email - Verification email resent successfully.</t>
  </si>
  <si>
    <t>1. Set up preconditions: Recruiter account exists and is authenticated where applicable.
2. Perform the action described: "Verification email resent successfully."
3. Observe system behaviour.</t>
  </si>
  <si>
    <t>System behaves exactly as specified: Verification email resent successfully.</t>
  </si>
  <si>
    <t>TC-0046</t>
  </si>
  <si>
    <t>Resend Verification Email - Previous token invalidated.</t>
  </si>
  <si>
    <t>1. Set up preconditions: Recruiter account exists and is authenticated where applicable.
2. Perform the action described: "Previous token invalidated."
3. Observe system behaviour.</t>
  </si>
  <si>
    <t>System behaves exactly as specified: Previous token invalidated.</t>
  </si>
  <si>
    <t>TC-0047</t>
  </si>
  <si>
    <t>Resend Verification Email - New token generated.</t>
  </si>
  <si>
    <t>1. Set up preconditions: Recruiter account exists and is authenticated where applicable.
2. Perform the action described: "New token generated."
3. Observe system behaviour.</t>
  </si>
  <si>
    <t>System behaves exactly as specified: New token generated.</t>
  </si>
  <si>
    <t>TC-0048</t>
  </si>
  <si>
    <t>Resend Verification Email - Success message displayed.</t>
  </si>
  <si>
    <t>1. Set up preconditions: Recruiter account exists and is authenticated where applicable.
2. Perform the action described: "Success message displayed."
3. Observe system behaviour.</t>
  </si>
  <si>
    <t>System behaves exactly as specified: Success message displayed.</t>
  </si>
  <si>
    <t>TC-0049</t>
  </si>
  <si>
    <t>Resend Verification Email - API 'POST /api/auth/resend-verification' returns success for valid authorized request</t>
  </si>
  <si>
    <t>1. Obtain a valid authentication token for role 'Recruiter'.
2. Send request: POST /api/auth/resend-verification with valid payload/parameters.
3. Inspect the response.</t>
  </si>
  <si>
    <t>TC-0050</t>
  </si>
  <si>
    <t>Resend Verification Email - API 'POST /api/auth/resend-verification' rejects unauthorized/unauthenticated request</t>
  </si>
  <si>
    <t>1. Send request: POST /api/auth/resend-verification without a valid authentication token.
2. Inspect the response.</t>
  </si>
  <si>
    <t>TC-0051</t>
  </si>
  <si>
    <t>Resend Verification Email - API 'POST /api/auth/resend-verification' handles invalid/malformed payload</t>
  </si>
  <si>
    <t>1. Obtain a valid authentication token for role 'Recruiter'.
2. Send request: POST /api/auth/resend-verification with missing required fields or malformed JSON.
3. Inspect the response.</t>
  </si>
  <si>
    <t>TC-0052</t>
  </si>
  <si>
    <t>Resend Verification Email - API 'POST /api/auth/resend-verification' handles non-existent resource gracefully</t>
  </si>
  <si>
    <t>1. Obtain a valid authentication token for role 'Recruiter'.
2. Send request: POST /api/auth/resend-verification referencing an ID that does not exist.
3. Inspect the response.</t>
  </si>
  <si>
    <t>TC-0053</t>
  </si>
  <si>
    <t>Resend Verification Email - Access denied for unauthorized role (Super Admin)</t>
  </si>
  <si>
    <t>1. Log in as Super Admin.
2. Attempt to access/perform: "Resend Verification Email".</t>
  </si>
  <si>
    <t>TC-0054</t>
  </si>
  <si>
    <t>Resend Verification Email - Access denied for unauthorized role (Candidate)</t>
  </si>
  <si>
    <t>1. Log in as Candidate.
2. Attempt to access/perform: "Resend Verification Email".</t>
  </si>
  <si>
    <t>TC-0055</t>
  </si>
  <si>
    <t>Recruiter Login - Valid login succeeds.</t>
  </si>
  <si>
    <t>User account exists and is authenticated where applicable.</t>
  </si>
  <si>
    <t>1. Set up preconditions: User account exists and is authenticated where applicable.
2. Perform the action described: "Valid login succeeds."
3. Observe system behaviour.</t>
  </si>
  <si>
    <t>System behaves exactly as specified: Valid login succeeds.</t>
  </si>
  <si>
    <t>TC-0056</t>
  </si>
  <si>
    <t>Recruiter Login - Invalid credentials rejected.</t>
  </si>
  <si>
    <t>1. Set up preconditions: User account exists and is authenticated where applicable.
2. Perform the action described: "Invalid credentials rejected."
3. Observe system behaviour.</t>
  </si>
  <si>
    <t>System behaves exactly as specified: Invalid credentials rejected.</t>
  </si>
  <si>
    <t>TC-0057</t>
  </si>
  <si>
    <t>Recruiter Login - Loading indicator shown.</t>
  </si>
  <si>
    <t>1. Set up preconditions: User account exists and is authenticated where applicable.
2. Perform the action described: "Loading indicator shown."
3. Observe system behaviour.</t>
  </si>
  <si>
    <t>System behaves exactly as specified: Loading indicator shown.</t>
  </si>
  <si>
    <t>TC-0058</t>
  </si>
  <si>
    <t>Recruiter Login - JWT session created.</t>
  </si>
  <si>
    <t>1. Set up preconditions: User account exists and is authenticated where applicable.
2. Perform the action described: "JWT session created."
3. Observe system behaviour.</t>
  </si>
  <si>
    <t>System behaves exactly as specified: JWT session created.</t>
  </si>
  <si>
    <t>TC-0059</t>
  </si>
  <si>
    <t>Recruiter Login - Audit log generated.</t>
  </si>
  <si>
    <t>1. Set up preconditions: User account exists and is authenticated where applicable.
2. Perform the action described: "Audit log generated."
3. Observe system behaviour.</t>
  </si>
  <si>
    <t>System behaves exactly as specified: Audit log generated.</t>
  </si>
  <si>
    <t>TC-0060</t>
  </si>
  <si>
    <t>Recruiter Login - Business rule enforcement: Maximum 5 failed login attempts.</t>
  </si>
  <si>
    <t>1. User account exists and is authenticated where applicable.
2. Perform an action that would violate the rule: "Maximum 5 failed login attempts."
3. Submit / confirm the action.</t>
  </si>
  <si>
    <t>System enforces business rule and prevents violation: Maximum 5 failed login attempts.</t>
  </si>
  <si>
    <t>TC-0061</t>
  </si>
  <si>
    <t>Recruiter Login - Boundary check: Account locked for 15 minutes. (value = 15 minute)</t>
  </si>
  <si>
    <t>1. User account exists and is authenticated where applicable.
2. Attempt the action with the value exactly at the limit (15 minute).
3. Attempt the action with the value one unit below the limit.
4. Attempt the action with the value one unit above the limit.</t>
  </si>
  <si>
    <t>System enforces the rule 'Account locked for 15 minutes.' correctly at, below, and above the boundary value.</t>
  </si>
  <si>
    <t>TC-0062</t>
  </si>
  <si>
    <t>Recruiter Login - Business rule enforcement: API</t>
  </si>
  <si>
    <t>1. User account exists and is authenticated where applicable.
2. Perform an action that would violate the rule: "API"
3. Submit / confirm the action.</t>
  </si>
  <si>
    <t>System enforces business rule and prevents violation: API</t>
  </si>
  <si>
    <t>TC-0063</t>
  </si>
  <si>
    <t>Recruiter Login - Business rule enforcement: POST /api/auth/login</t>
  </si>
  <si>
    <t>1. User account exists and is authenticated where applicable.
2. Perform an action that would violate the rule: "POST /api/auth/login"
3. Submit / confirm the action.</t>
  </si>
  <si>
    <t>System enforces business rule and prevents violation: POST /api/auth/login</t>
  </si>
  <si>
    <t>TC-0064</t>
  </si>
  <si>
    <t>Recruiter Login - Access denied for unauthorized role (Super Admin)</t>
  </si>
  <si>
    <t>1. Log in as Super Admin.
2. Attempt to access/perform: "Recruiter Login".</t>
  </si>
  <si>
    <t>System denies access (HTTP 403 / hidden UI) since this feature is restricted to the 'User' role.</t>
  </si>
  <si>
    <t>TC-0065</t>
  </si>
  <si>
    <t>Recruiter Login - Access denied for unauthorized role (Recruiter)</t>
  </si>
  <si>
    <t>Recruiter account exists and is authenticated.</t>
  </si>
  <si>
    <t>1. Log in as Recruiter.
2. Attempt to access/perform: "Recruiter Login".</t>
  </si>
  <si>
    <t>TC-0066</t>
  </si>
  <si>
    <t>Recruiter Login - Access denied for unauthorized role (Candidate)</t>
  </si>
  <si>
    <t>1. Log in as Candidate.
2. Attempt to access/perform: "Recruiter Login".</t>
  </si>
  <si>
    <t>TC-0067</t>
  </si>
  <si>
    <t>Remember Me - Session restored.</t>
  </si>
  <si>
    <t>1. Set up preconditions: User account exists and is authenticated where applicable.
2. Perform the action described: "Session restored."
3. Observe system behaviour.</t>
  </si>
  <si>
    <t>System behaves exactly as specified: Session restored.</t>
  </si>
  <si>
    <t>TC-0068</t>
  </si>
  <si>
    <t>Remember Me - Refresh token validated.</t>
  </si>
  <si>
    <t>1. Set up preconditions: User account exists and is authenticated where applicable.
2. Perform the action described: "Refresh token validated."
3. Observe system behaviour.</t>
  </si>
  <si>
    <t>System behaves exactly as specified: Refresh token validated.</t>
  </si>
  <si>
    <t>TC-0069</t>
  </si>
  <si>
    <t>Remember Me - Invalid refresh token rejected.</t>
  </si>
  <si>
    <t>1. Set up preconditions: User account exists and is authenticated where applicable.
2. Perform the action described: "Invalid refresh token rejected."
3. Observe system behaviour.</t>
  </si>
  <si>
    <t>System behaves exactly as specified: Invalid refresh token rejected.</t>
  </si>
  <si>
    <t>TC-0070</t>
  </si>
  <si>
    <t>Remember Me - Access denied for unauthorized role (Super Admin)</t>
  </si>
  <si>
    <t>1. Log in as Super Admin.
2. Attempt to access/perform: "Remember Me".</t>
  </si>
  <si>
    <t>TC-0071</t>
  </si>
  <si>
    <t>Remember Me - Access denied for unauthorized role (Recruiter)</t>
  </si>
  <si>
    <t>1. Log in as Recruiter.
2. Attempt to access/perform: "Remember Me".</t>
  </si>
  <si>
    <t>TC-0072</t>
  </si>
  <si>
    <t>Remember Me - Access denied for unauthorized role (Candidate)</t>
  </si>
  <si>
    <t>1. Log in as Candidate.
2. Attempt to access/perform: "Remember Me".</t>
  </si>
  <si>
    <t>TC-0073</t>
  </si>
  <si>
    <t>Forgot Password - Registered email accepted.</t>
  </si>
  <si>
    <t>1. Set up preconditions: User account exists and is authenticated where applicable.
2. Perform the action described: "Registered email accepted."
3. Observe system behaviour.</t>
  </si>
  <si>
    <t>System behaves exactly as specified: Registered email accepted.</t>
  </si>
  <si>
    <t>TC-0074</t>
  </si>
  <si>
    <t>Forgot Password - Reset token generated.</t>
  </si>
  <si>
    <t>1. Set up preconditions: User account exists and is authenticated where applicable.
2. Perform the action described: "Reset token generated."
3. Observe system behaviour.</t>
  </si>
  <si>
    <t>System behaves exactly as specified: Reset token generated.</t>
  </si>
  <si>
    <t>TC-0075</t>
  </si>
  <si>
    <t>Forgot Password - Email sent.</t>
  </si>
  <si>
    <t>1. Set up preconditions: User account exists and is authenticated where applicable.
2. Perform the action described: "Email sent."
3. Observe system behaviour.</t>
  </si>
  <si>
    <t>System behaves exactly as specified: Email sent.</t>
  </si>
  <si>
    <t>TC-0076</t>
  </si>
  <si>
    <t>Forgot Password - Invalid email handled securely.</t>
  </si>
  <si>
    <t>1. Set up preconditions: User account exists and is authenticated where applicable.
2. Perform the action described: "Invalid email handled securely."
3. Observe system behaviour.</t>
  </si>
  <si>
    <t>System behaves exactly as specified: Invalid email handled securely.</t>
  </si>
  <si>
    <t>TC-0077</t>
  </si>
  <si>
    <t>Forgot Password - API</t>
  </si>
  <si>
    <t>1. Set up preconditions: User account exists and is authenticated where applicable.
2. Perform the action described: "API"
3. Observe system behaviour.</t>
  </si>
  <si>
    <t>System behaves exactly as specified: API</t>
  </si>
  <si>
    <t>TC-0078</t>
  </si>
  <si>
    <t>Forgot Password - POST /api/auth/forgot-password</t>
  </si>
  <si>
    <t>1. Set up preconditions: User account exists and is authenticated where applicable.
2. Perform the action described: "POST /api/auth/forgot-password"
3. Observe system behaviour.</t>
  </si>
  <si>
    <t>System behaves exactly as specified: POST /api/auth/forgot-password</t>
  </si>
  <si>
    <t>TC-0079</t>
  </si>
  <si>
    <t>Forgot Password - Access denied for unauthorized role (Super Admin)</t>
  </si>
  <si>
    <t>1. Log in as Super Admin.
2. Attempt to access/perform: "Forgot Password".</t>
  </si>
  <si>
    <t>TC-0080</t>
  </si>
  <si>
    <t>Forgot Password - Access denied for unauthorized role (Recruiter)</t>
  </si>
  <si>
    <t>1. Log in as Recruiter.
2. Attempt to access/perform: "Forgot Password".</t>
  </si>
  <si>
    <t>TC-0081</t>
  </si>
  <si>
    <t>Forgot Password - Access denied for unauthorized role (Candidate)</t>
  </si>
  <si>
    <t>1. Log in as Candidate.
2. Attempt to access/perform: "Forgot Password".</t>
  </si>
  <si>
    <t>TC-0082</t>
  </si>
  <si>
    <t>Reset Password - Token validated.</t>
  </si>
  <si>
    <t>1. Set up preconditions: User account exists and is authenticated where applicable.
2. Perform the action described: "Token validated."
3. Observe system behaviour.</t>
  </si>
  <si>
    <t>System behaves exactly as specified: Token validated.</t>
  </si>
  <si>
    <t>TC-0083</t>
  </si>
  <si>
    <t>Reset Password - Password updated.</t>
  </si>
  <si>
    <t>1. Set up preconditions: User account exists and is authenticated where applicable.
2. Perform the action described: "Password updated."
3. Observe system behaviour.</t>
  </si>
  <si>
    <t>System behaves exactly as specified: Password updated.</t>
  </si>
  <si>
    <t>TC-0084</t>
  </si>
  <si>
    <t>Reset Password - Previous sessions revoked.</t>
  </si>
  <si>
    <t>1. Set up preconditions: User account exists and is authenticated where applicable.
2. Perform the action described: "Previous sessions revoked."
3. Observe system behaviour.</t>
  </si>
  <si>
    <t>System behaves exactly as specified: Previous sessions revoked.</t>
  </si>
  <si>
    <t>TC-0085</t>
  </si>
  <si>
    <t>Reset Password - Success confirmation shown.</t>
  </si>
  <si>
    <t>1. Set up preconditions: User account exists and is authenticated where applicable.
2. Perform the action described: "Success confirmation shown."
3. Observe system behaviour.</t>
  </si>
  <si>
    <t>System behaves exactly as specified: Success confirmation shown.</t>
  </si>
  <si>
    <t>TC-0086</t>
  </si>
  <si>
    <t>Reset Password - Access denied for unauthorized role (Super Admin)</t>
  </si>
  <si>
    <t>1. Log in as Super Admin.
2. Attempt to access/perform: "Reset Password".</t>
  </si>
  <si>
    <t>TC-0087</t>
  </si>
  <si>
    <t>Reset Password - Access denied for unauthorized role (Recruiter)</t>
  </si>
  <si>
    <t>1. Log in as Recruiter.
2. Attempt to access/perform: "Reset Password".</t>
  </si>
  <si>
    <t>TC-0088</t>
  </si>
  <si>
    <t>Reset Password - Access denied for unauthorized role (Candidate)</t>
  </si>
  <si>
    <t>1. Log in as Candidate.
2. Attempt to access/perform: "Reset Password".</t>
  </si>
  <si>
    <t>TC-0089</t>
  </si>
  <si>
    <t>Recruiter Logout - Session destroyed.</t>
  </si>
  <si>
    <t>1. Set up preconditions: User account exists and is authenticated where applicable.
2. Perform the action described: "Session destroyed."
3. Observe system behaviour.</t>
  </si>
  <si>
    <t>System behaves exactly as specified: Session destroyed.</t>
  </si>
  <si>
    <t>TC-0090</t>
  </si>
  <si>
    <t>Recruiter Logout - Refresh token revoked.</t>
  </si>
  <si>
    <t>1. Set up preconditions: User account exists and is authenticated where applicable.
2. Perform the action described: "Refresh token revoked."
3. Observe system behaviour.</t>
  </si>
  <si>
    <t>System behaves exactly as specified: Refresh token revoked.</t>
  </si>
  <si>
    <t>TC-0091</t>
  </si>
  <si>
    <t>Recruiter Logout - Redirect to Login page.</t>
  </si>
  <si>
    <t>1. Set up preconditions: User account exists and is authenticated where applicable.
2. Perform the action described: "Redirect to Login page."
3. Observe system behaviour.</t>
  </si>
  <si>
    <t>System behaves exactly as specified: Redirect to Login page.</t>
  </si>
  <si>
    <t>TC-0092</t>
  </si>
  <si>
    <t>Recruiter Logout - Audit log recorded.</t>
  </si>
  <si>
    <t>1. Set up preconditions: User account exists and is authenticated where applicable.
2. Perform the action described: "Audit log recorded."
3. Observe system behaviour.</t>
  </si>
  <si>
    <t>System behaves exactly as specified: Audit log recorded.</t>
  </si>
  <si>
    <t>TC-0093</t>
  </si>
  <si>
    <t>Recruiter Logout - Access denied for unauthorized role (Super Admin)</t>
  </si>
  <si>
    <t>1. Log in as Super Admin.
2. Attempt to access/perform: "Recruiter Logout".</t>
  </si>
  <si>
    <t>TC-0094</t>
  </si>
  <si>
    <t>Recruiter Logout - Access denied for unauthorized role (Recruiter)</t>
  </si>
  <si>
    <t>1. Log in as Recruiter.
2. Attempt to access/perform: "Recruiter Logout".</t>
  </si>
  <si>
    <t>TC-0095</t>
  </si>
  <si>
    <t>Recruiter Logout - Access denied for unauthorized role (Candidate)</t>
  </si>
  <si>
    <t>1. Log in as Candidate.
2. Attempt to access/perform: "Recruiter Logout".</t>
  </si>
  <si>
    <t>TC-0096</t>
  </si>
  <si>
    <t>Session Timeout - Idle timer starts.</t>
  </si>
  <si>
    <t>1. Set up preconditions: User account exists and is authenticated where applicable.
2. Perform the action described: "Idle timer starts."
3. Observe system behaviour.</t>
  </si>
  <si>
    <t>System behaves exactly as specified: Idle timer starts.</t>
  </si>
  <si>
    <t>TC-0097</t>
  </si>
  <si>
    <t>Session Timeout - Warning displayed before timeout.</t>
  </si>
  <si>
    <t>1. Set up preconditions: User account exists and is authenticated where applicable.
2. Perform the action described: "Warning displayed before timeout."
3. Observe system behaviour.</t>
  </si>
  <si>
    <t>System behaves exactly as specified: Warning displayed before timeout.</t>
  </si>
  <si>
    <t>TC-0098</t>
  </si>
  <si>
    <t>Session Timeout - Session expires automatically.</t>
  </si>
  <si>
    <t>1. Set up preconditions: User account exists and is authenticated where applicable.
2. Perform the action described: "Session expires automatically."
3. Observe system behaviour.</t>
  </si>
  <si>
    <t>System behaves exactly as specified: Session expires automatically.</t>
  </si>
  <si>
    <t>TC-0099</t>
  </si>
  <si>
    <t>Session Timeout - Login required again.</t>
  </si>
  <si>
    <t>1. Set up preconditions: User account exists and is authenticated where applicable.
2. Perform the action described: "Login required again."
3. Observe system behaviour.</t>
  </si>
  <si>
    <t>System behaves exactly as specified: Login required again.</t>
  </si>
  <si>
    <t>TC-0100</t>
  </si>
  <si>
    <t>Session Timeout - Access denied for unauthorized role (Super Admin)</t>
  </si>
  <si>
    <t>1. Log in as Super Admin.
2. Attempt to access/perform: "Session Timeout".</t>
  </si>
  <si>
    <t>TC-0101</t>
  </si>
  <si>
    <t>Session Timeout - Access denied for unauthorized role (Recruiter)</t>
  </si>
  <si>
    <t>1. Log in as Recruiter.
2. Attempt to access/perform: "Session Timeout".</t>
  </si>
  <si>
    <t>TC-0102</t>
  </si>
  <si>
    <t>Session Timeout - Access denied for unauthorized role (Candidate)</t>
  </si>
  <si>
    <t>1. Log in as Candidate.
2. Attempt to access/perform: "Session Timeout".</t>
  </si>
  <si>
    <t>TC-0103</t>
  </si>
  <si>
    <t>Candidate Registration - Invitation validated.</t>
  </si>
  <si>
    <t>1. Set up preconditions: User account exists and is authenticated where applicable.
2. Perform the action described: "Invitation validated."
3. Observe system behaviour.</t>
  </si>
  <si>
    <t>System behaves exactly as specified: Invitation validated.</t>
  </si>
  <si>
    <t>TC-0104</t>
  </si>
  <si>
    <t>Candidate Registration - Candidate account created.</t>
  </si>
  <si>
    <t>1. Set up preconditions: User account exists and is authenticated where applicable.
2. Perform the action described: "Candidate account created."
3. Observe system behaviour.</t>
  </si>
  <si>
    <t>System behaves exactly as specified: Candidate account created.</t>
  </si>
  <si>
    <t>TC-0105</t>
  </si>
  <si>
    <t>Candidate Registration - Email verified.</t>
  </si>
  <si>
    <t>1. Set up preconditions: User account exists and is authenticated where applicable.
2. Perform the action described: "Email verified."
3. Observe system behaviour.</t>
  </si>
  <si>
    <t>System behaves exactly as specified: Email verified.</t>
  </si>
  <si>
    <t>TC-0106</t>
  </si>
  <si>
    <t>Candidate Registration - Redirect to onboarding.</t>
  </si>
  <si>
    <t>1. Set up preconditions: User account exists and is authenticated where applicable.
2. Perform the action described: "Redirect to onboarding."
3. Observe system behaviour.</t>
  </si>
  <si>
    <t>System behaves exactly as specified: Redirect to onboarding.</t>
  </si>
  <si>
    <t>TC-0107</t>
  </si>
  <si>
    <t>Candidate Registration - Access denied for unauthorized role (Super Admin)</t>
  </si>
  <si>
    <t>1. Log in as Super Admin.
2. Attempt to access/perform: "Candidate Registration".</t>
  </si>
  <si>
    <t>TC-0108</t>
  </si>
  <si>
    <t>Candidate Registration - Access denied for unauthorized role (Recruiter)</t>
  </si>
  <si>
    <t>1. Log in as Recruiter.
2. Attempt to access/perform: "Candidate Registration".</t>
  </si>
  <si>
    <t>TC-0109</t>
  </si>
  <si>
    <t>Candidate Registration - Access denied for unauthorized role (Candidate)</t>
  </si>
  <si>
    <t>1. Log in as Candidate.
2. Attempt to access/perform: "Candidate Registration".</t>
  </si>
  <si>
    <t>TC-0110</t>
  </si>
  <si>
    <t>Candidate Registration - Prevents duplicate submission on repeated/rapid clicks</t>
  </si>
  <si>
    <t>1. User account exists and is authenticated where applicable.
2. Fill valid data and click Submit/Save multiple times in quick succession or use double-click.
3. Observe the result.</t>
  </si>
  <si>
    <t>TC-0111</t>
  </si>
  <si>
    <t>Candidate Login - Valid credentials accepted.</t>
  </si>
  <si>
    <t>1. Set up preconditions: User account exists and is authenticated where applicable.
2. Perform the action described: "Valid credentials accepted."
3. Observe system behaviour.</t>
  </si>
  <si>
    <t>System behaves exactly as specified: Valid credentials accepted.</t>
  </si>
  <si>
    <t>TC-0112</t>
  </si>
  <si>
    <t>Candidate Login - Invalid credentials rejected.</t>
  </si>
  <si>
    <t>TC-0113</t>
  </si>
  <si>
    <t>Candidate Login - Session created.</t>
  </si>
  <si>
    <t>1. Set up preconditions: User account exists and is authenticated where applicable.
2. Perform the action described: "Session created."
3. Observe system behaviour.</t>
  </si>
  <si>
    <t>System behaves exactly as specified: Session created.</t>
  </si>
  <si>
    <t>TC-0114</t>
  </si>
  <si>
    <t>Candidate Login - Dashboard displayed.</t>
  </si>
  <si>
    <t>1. Set up preconditions: User account exists and is authenticated where applicable.
2. Perform the action described: "Dashboard displayed."
3. Observe system behaviour.</t>
  </si>
  <si>
    <t>System behaves exactly as specified: Dashboard displayed.</t>
  </si>
  <si>
    <t>TC-0115</t>
  </si>
  <si>
    <t>Candidate Login - Access denied for unauthorized role (Super Admin)</t>
  </si>
  <si>
    <t>1. Log in as Super Admin.
2. Attempt to access/perform: "Candidate Login".</t>
  </si>
  <si>
    <t>TC-0116</t>
  </si>
  <si>
    <t>Candidate Login - Access denied for unauthorized role (Recruiter)</t>
  </si>
  <si>
    <t>1. Log in as Recruiter.
2. Attempt to access/perform: "Candidate Login".</t>
  </si>
  <si>
    <t>TC-0117</t>
  </si>
  <si>
    <t>Candidate Login - Access denied for unauthorized role (Candidate)</t>
  </si>
  <si>
    <t>1. Log in as Candidate.
2. Attempt to access/perform: "Candidate Login".</t>
  </si>
  <si>
    <t>TC-0118</t>
  </si>
  <si>
    <t>Role-Based Authorization - Super Admin accesses all modules.</t>
  </si>
  <si>
    <t>1. Set up preconditions: User account exists and is authenticated where applicable.
2. Perform the action described: "Super Admin accesses all modules."
3. Observe system behaviour.</t>
  </si>
  <si>
    <t>System behaves exactly as specified: Super Admin accesses all modules.</t>
  </si>
  <si>
    <t>TC-0119</t>
  </si>
  <si>
    <t>Role-Based Authorization - Recruiter accesses recruitment, onboarding, learning, AI, and reporting.</t>
  </si>
  <si>
    <t>1. Set up preconditions: User account exists and is authenticated where applicable.
2. Perform the action described: "Recruiter accesses recruitment, onboarding, learning, AI, and reporting."
3. Observe system behaviour.</t>
  </si>
  <si>
    <t>System behaves exactly as specified: Recruiter accesses recruitment, onboarding, learning, AI, and reporting.</t>
  </si>
  <si>
    <t>TC-0120</t>
  </si>
  <si>
    <t>Role-Based Authorization - Candidate accesses only personal onboarding, learning, AI Coach, and profile.</t>
  </si>
  <si>
    <t>1. Set up preconditions: User account exists and is authenticated where applicable.
2. Perform the action described: "Candidate accesses only personal onboarding, learning, AI Coach, and profile."
3. Observe system behaviour.</t>
  </si>
  <si>
    <t>System behaves exactly as specified: Candidate accesses only personal onboarding, learning, AI Coach, and profile.</t>
  </si>
  <si>
    <t>TC-0121</t>
  </si>
  <si>
    <t>Role-Based Authorization - Unauthorized requests return HTTP 403.</t>
  </si>
  <si>
    <t>1. Set up preconditions: User account exists and is authenticated where applicable.
2. Perform the action described: "Unauthorized requests return HTTP 403."
3. Observe system behaviour.</t>
  </si>
  <si>
    <t>System behaves exactly as specified: Unauthorized requests return HTTP 403.</t>
  </si>
  <si>
    <t>TC-0122</t>
  </si>
  <si>
    <t>Role-Based Authorization - Hidden UI elements are not rendered for unauthorized roles.</t>
  </si>
  <si>
    <t>1. Set up preconditions: User account exists and is authenticated where applicable.
2. Perform the action described: "Hidden UI elements are not rendered for unauthorized roles."
3. Observe system behaviour.</t>
  </si>
  <si>
    <t>System behaves exactly as specified: Hidden UI elements are not rendered for unauthorized roles.</t>
  </si>
  <si>
    <t>TC-0123</t>
  </si>
  <si>
    <t>Role-Based Authorization - API 'Middleware on all protected endpoints.' returns success for valid authorized request</t>
  </si>
  <si>
    <t>1. Obtain a valid authentication token for role 'User'.
2. Send request: Middleware on all protected endpoints. with valid payload/parameters.
3. Inspect the response.</t>
  </si>
  <si>
    <t>TC-0124</t>
  </si>
  <si>
    <t>Role-Based Authorization - API 'Middleware on all protected endpoints.' rejects unauthorized/unauthenticated request</t>
  </si>
  <si>
    <t>1. Send request: Middleware on all protected endpoints. without a valid authentication token.
2. Inspect the response.</t>
  </si>
  <si>
    <t>TC-0125</t>
  </si>
  <si>
    <t>Role-Based Authorization - API 'Middleware on all protected endpoints.' handles invalid/malformed payload</t>
  </si>
  <si>
    <t>1. Obtain a valid authentication token for role 'User'.
2. Send request: Middleware on all protected endpoints. with missing required fields or malformed JSON.
3. Inspect the response.</t>
  </si>
  <si>
    <t>TC-0126</t>
  </si>
  <si>
    <t>Role-Based Authorization - API 'Middleware on all protected endpoints.' handles non-existent resource gracefully</t>
  </si>
  <si>
    <t>1. Obtain a valid authentication token for role 'User'.
2. Send request: Middleware on all protected endpoints. referencing an ID that does not exist.
3. Inspect the response.</t>
  </si>
  <si>
    <t>TC-0127</t>
  </si>
  <si>
    <t>Role-Based Authorization - Access denied for unauthorized role (Super Admin)</t>
  </si>
  <si>
    <t>1. Log in as Super Admin.
2. Attempt to access/perform: "Role-Based Authorization".</t>
  </si>
  <si>
    <t>TC-0128</t>
  </si>
  <si>
    <t>Role-Based Authorization - Access denied for unauthorized role (Recruiter)</t>
  </si>
  <si>
    <t>1. Log in as Recruiter.
2. Attempt to access/perform: "Role-Based Authorization".</t>
  </si>
  <si>
    <t>TC-0129</t>
  </si>
  <si>
    <t>Role-Based Authorization - Access denied for unauthorized role (Candidate)</t>
  </si>
  <si>
    <t>1. Log in as Candidate.
2. Attempt to access/perform: "Role-Based Authorization".</t>
  </si>
  <si>
    <t>TC-0130</t>
  </si>
  <si>
    <t>Recruiter Dashboard Overview - Verify complete end-to-end flow with valid data</t>
  </si>
  <si>
    <t>Recruiter is authenticated. Dashboard data is available.</t>
  </si>
  <si>
    <t>1. Recruiter logs in.
2. Dashboard loads.
3. System retrieves onboarding metrics.
4. Dashboard widgets are displayed.</t>
  </si>
  <si>
    <t>TC-0131</t>
  </si>
  <si>
    <t>Recruiter Dashboard Overview - Dashboard loads within 3 seconds.</t>
  </si>
  <si>
    <t>1. Set up preconditions: Recruiter is authenticated. Dashboard data is available.
2. Perform the action described: "Dashboard loads within 3 seconds."
3. Observe system behaviour.</t>
  </si>
  <si>
    <t>System behaves exactly as specified: Dashboard loads within 3 seconds.</t>
  </si>
  <si>
    <t>TC-0132</t>
  </si>
  <si>
    <t>Recruiter Dashboard Overview - Active employee count displayed.</t>
  </si>
  <si>
    <t>1. Set up preconditions: Recruiter is authenticated. Dashboard data is available.
2. Perform the action described: "Active employee count displayed."
3. Observe system behaviour.</t>
  </si>
  <si>
    <t>System behaves exactly as specified: Active employee count displayed.</t>
  </si>
  <si>
    <t>TC-0133</t>
  </si>
  <si>
    <t>Recruiter Dashboard Overview - Pending onboarding displayed.</t>
  </si>
  <si>
    <t>1. Set up preconditions: Recruiter is authenticated. Dashboard data is available.
2. Perform the action described: "Pending onboarding displayed."
3. Observe system behaviour.</t>
  </si>
  <si>
    <t>System behaves exactly as specified: Pending onboarding displayed.</t>
  </si>
  <si>
    <t>TC-0134</t>
  </si>
  <si>
    <t>Recruiter Dashboard Overview - Pending document verification displayed.</t>
  </si>
  <si>
    <t>1. Set up preconditions: Recruiter is authenticated. Dashboard data is available.
2. Perform the action described: "Pending document verification displayed."
3. Observe system behaviour.</t>
  </si>
  <si>
    <t>System behaves exactly as specified: Pending document verification displayed.</t>
  </si>
  <si>
    <t>TC-0135</t>
  </si>
  <si>
    <t>Recruiter Dashboard Overview - Upcoming joining dates displayed.</t>
  </si>
  <si>
    <t>1. Set up preconditions: Recruiter is authenticated. Dashboard data is available.
2. Perform the action described: "Upcoming joining dates displayed."
3. Observe system behaviour.</t>
  </si>
  <si>
    <t>System behaves exactly as specified: Upcoming joining dates displayed.</t>
  </si>
  <si>
    <t>TC-0136</t>
  </si>
  <si>
    <t>Recruiter Dashboard Overview - Notifications displayed.</t>
  </si>
  <si>
    <t>1. Set up preconditions: Recruiter is authenticated. Dashboard data is available.
2. Perform the action described: "Notifications displayed."
3. Observe system behaviour.</t>
  </si>
  <si>
    <t>System behaves exactly as specified: Notifications displayed.</t>
  </si>
  <si>
    <t>TC-0137</t>
  </si>
  <si>
    <t>Recruiter Dashboard Overview - Quick actions available.</t>
  </si>
  <si>
    <t>1. Set up preconditions: Recruiter is authenticated. Dashboard data is available.
2. Perform the action described: "Quick actions available."
3. Observe system behaviour.</t>
  </si>
  <si>
    <t>System behaves exactly as specified: Quick actions available.</t>
  </si>
  <si>
    <t>TC-0138</t>
  </si>
  <si>
    <t>Recruiter Dashboard Overview - Boundary check: Dashboard data refreshes every 60 seconds. (value = 60 second)</t>
  </si>
  <si>
    <t>1. Recruiter is authenticated. Dashboard data is available.
2. Attempt the action with the value exactly at the limit (60 second).
3. Attempt the action with the value one unit below the limit.
4. Attempt the action with the value one unit above the limit.</t>
  </si>
  <si>
    <t>System enforces the rule 'Dashboard data refreshes every 60 seconds.' correctly at, below, and above the boundary value.</t>
  </si>
  <si>
    <t>TC-0139</t>
  </si>
  <si>
    <t>Recruiter Dashboard Overview - Business rule enforcement: Widgets depend on recruiter permissions.</t>
  </si>
  <si>
    <t>1. Recruiter is authenticated. Dashboard data is available.
2. Perform an action that would violate the rule: "Widgets depend on recruiter permissions."
3. Submit / confirm the action.</t>
  </si>
  <si>
    <t>System enforces business rule and prevents violation: Widgets depend on recruiter permissions.</t>
  </si>
  <si>
    <t>TC-0140</t>
  </si>
  <si>
    <t>Recruiter Dashboard Overview - Field validation for 'KPI Cards' left empty</t>
  </si>
  <si>
    <t>1. Recruiter is authenticated. Dashboard data is available.
2. Leave the 'KPI Cards' field empty.
3. Attempt to submit the form.</t>
  </si>
  <si>
    <t>System displays a mandatory field error for 'KPI Cards' and blocks submission if the field is required.</t>
  </si>
  <si>
    <t>TC-0141</t>
  </si>
  <si>
    <t>Recruiter Dashboard Overview - Field validation for 'Charts' left empty</t>
  </si>
  <si>
    <t>1. Recruiter is authenticated. Dashboard data is available.
2. Leave the 'Charts' field empty.
3. Attempt to submit the form.</t>
  </si>
  <si>
    <t>System displays a mandatory field error for 'Charts' and blocks submission if the field is required.</t>
  </si>
  <si>
    <t>TC-0142</t>
  </si>
  <si>
    <t>Recruiter Dashboard Overview - Field validation for 'Notifications Panel' left empty</t>
  </si>
  <si>
    <t>1. Recruiter is authenticated. Dashboard data is available.
2. Leave the 'Notifications Panel' field empty.
3. Attempt to submit the form.</t>
  </si>
  <si>
    <t>System displays a mandatory field error for 'Notifications Panel' and blocks submission if the field is required.</t>
  </si>
  <si>
    <t>TC-0143</t>
  </si>
  <si>
    <t>Recruiter Dashboard Overview - Field validation for 'Quick Actions' left empty</t>
  </si>
  <si>
    <t>1. Recruiter is authenticated. Dashboard data is available.
2. Leave the 'Quick Actions' field empty.
3. Attempt to submit the form.</t>
  </si>
  <si>
    <t>System displays a mandatory field error for 'Quick Actions' and blocks submission if the field is required.</t>
  </si>
  <si>
    <t>TC-0144</t>
  </si>
  <si>
    <t>Recruiter Dashboard Overview - Field validation for 'Recent Activities' left empty</t>
  </si>
  <si>
    <t>1. Recruiter is authenticated. Dashboard data is available.
2. Leave the 'Recent Activities' field empty.
3. Attempt to submit the form.</t>
  </si>
  <si>
    <t>System displays a mandatory field error for 'Recent Activities' and blocks submission if the field is required.</t>
  </si>
  <si>
    <t>TC-0145</t>
  </si>
  <si>
    <t>Recruiter Dashboard Overview - Field validation for 'Pending Tasks' left empty</t>
  </si>
  <si>
    <t>1. Recruiter is authenticated. Dashboard data is available.
2. Leave the 'Pending Tasks' field empty.
3. Attempt to submit the form.</t>
  </si>
  <si>
    <t>System displays a mandatory field error for 'Pending Tasks' and blocks submission if the field is required.</t>
  </si>
  <si>
    <t>TC-0146</t>
  </si>
  <si>
    <t>Recruiter Dashboard Overview - API 'GET `/api/dashboard/summary' returns success for valid authorized request</t>
  </si>
  <si>
    <t>1. Obtain a valid authentication token for role 'Recruiter'.
2. Send request: GET `/api/dashboard/summary with valid payload/parameters.
3. Inspect the response.</t>
  </si>
  <si>
    <t>TC-0147</t>
  </si>
  <si>
    <t>Recruiter Dashboard Overview - API 'GET `/api/dashboard/summary' rejects unauthorized/unauthenticated request</t>
  </si>
  <si>
    <t>1. Send request: GET `/api/dashboard/summary without a valid authentication token.
2. Inspect the response.</t>
  </si>
  <si>
    <t>TC-0148</t>
  </si>
  <si>
    <t>Recruiter Dashboard Overview - API 'GET `/api/dashboard/summary' handles invalid/malformed payload</t>
  </si>
  <si>
    <t>1. Obtain a valid authentication token for role 'Recruiter'.
2. Send request: GET `/api/dashboard/summary with missing required fields or malformed JSON.
3. Inspect the response.</t>
  </si>
  <si>
    <t>TC-0149</t>
  </si>
  <si>
    <t>Recruiter Dashboard Overview - API 'GET `/api/dashboard/summary' handles non-existent resource gracefully</t>
  </si>
  <si>
    <t>1. Obtain a valid authentication token for role 'Recruiter'.
2. Send request: GET `/api/dashboard/summary referencing an ID that does not exist.
3. Inspect the response.</t>
  </si>
  <si>
    <t>TC-0150</t>
  </si>
  <si>
    <t>Recruiter Dashboard Overview - API 'GET `/api/dashboard/activity' returns success for valid authorized request</t>
  </si>
  <si>
    <t>1. Obtain a valid authentication token for role 'Recruiter'.
2. Send request: GET `/api/dashboard/activity with valid payload/parameters.
3. Inspect the response.</t>
  </si>
  <si>
    <t>TC-0151</t>
  </si>
  <si>
    <t>Recruiter Dashboard Overview - API 'GET `/api/dashboard/activity' rejects unauthorized/unauthenticated request</t>
  </si>
  <si>
    <t>1. Send request: GET `/api/dashboard/activity without a valid authentication token.
2. Inspect the response.</t>
  </si>
  <si>
    <t>TC-0152</t>
  </si>
  <si>
    <t>Recruiter Dashboard Overview - API 'GET `/api/dashboard/activity' handles invalid/malformed payload</t>
  </si>
  <si>
    <t>1. Obtain a valid authentication token for role 'Recruiter'.
2. Send request: GET `/api/dashboard/activity with missing required fields or malformed JSON.
3. Inspect the response.</t>
  </si>
  <si>
    <t>TC-0153</t>
  </si>
  <si>
    <t>Recruiter Dashboard Overview - API 'GET `/api/dashboard/activity' handles non-existent resource gracefully</t>
  </si>
  <si>
    <t>1. Obtain a valid authentication token for role 'Recruiter'.
2. Send request: GET `/api/dashboard/activity referencing an ID that does not exist.
3. Inspect the response.</t>
  </si>
  <si>
    <t>TC-0154</t>
  </si>
  <si>
    <t>Recruiter Dashboard Overview - Access denied for unauthorized role (Super Admin)</t>
  </si>
  <si>
    <t>1. Log in as Super Admin.
2. Attempt to access/perform: "Recruiter Dashboard Overview".</t>
  </si>
  <si>
    <t>TC-0155</t>
  </si>
  <si>
    <t>Recruiter Dashboard Overview - Access denied for unauthorized role (Candidate)</t>
  </si>
  <si>
    <t>1. Log in as Candidate.
2. Attempt to access/perform: "Recruiter Dashboard Overview".</t>
  </si>
  <si>
    <t>TC-0156</t>
  </si>
  <si>
    <t>Recruiter Dashboard Overview - Displays correctly when no data is available</t>
  </si>
  <si>
    <t>1. Recruiter is authenticated. Dashboard data is available.
2. Ensure there is no underlying data (empty dataset).
3. Open the screen.</t>
  </si>
  <si>
    <t>System displays an appropriate empty-state message instead of an error or blank screen.</t>
  </si>
  <si>
    <t>TC-0157</t>
  </si>
  <si>
    <t>Recruiter Dashboard Overview - Handles large dataset with pagination correctly</t>
  </si>
  <si>
    <t>1. Recruiter is authenticated. Dashboard data is available.
2. Ensure the dataset contains a large number of records (e.g. 500+).
3. Load the screen and navigate through pages.</t>
  </si>
  <si>
    <t>System paginates results correctly, loads within acceptable time, and displays accurate counts on each page.</t>
  </si>
  <si>
    <t>TC-0158</t>
  </si>
  <si>
    <t>Dashboard Notifications - Notification badge updates.</t>
  </si>
  <si>
    <t>1. Set up preconditions: Recruiter account exists and is authenticated where applicable.
2. Perform the action described: "Notification badge updates."
3. Observe system behaviour.</t>
  </si>
  <si>
    <t>System behaves exactly as specified: Notification badge updates.</t>
  </si>
  <si>
    <t>TC-0159</t>
  </si>
  <si>
    <t>Dashboard Notifications - Unread count displayed.</t>
  </si>
  <si>
    <t>1. Set up preconditions: Recruiter account exists and is authenticated where applicable.
2. Perform the action described: "Unread count displayed."
3. Observe system behaviour.</t>
  </si>
  <si>
    <t>System behaves exactly as specified: Unread count displayed.</t>
  </si>
  <si>
    <t>TC-0160</t>
  </si>
  <si>
    <t>Dashboard Notifications - Notifications marked as read.</t>
  </si>
  <si>
    <t>1. Set up preconditions: Recruiter account exists and is authenticated where applicable.
2. Perform the action described: "Notifications marked as read."
3. Observe system behaviour.</t>
  </si>
  <si>
    <t>System behaves exactly as specified: Notifications marked as read.</t>
  </si>
  <si>
    <t>TC-0161</t>
  </si>
  <si>
    <t>Dashboard Notifications - Clicking notification redirects to related screen.</t>
  </si>
  <si>
    <t>1. Set up preconditions: Recruiter account exists and is authenticated where applicable.
2. Perform the action described: "Clicking notification redirects to related screen."
3. Observe system behaviour.</t>
  </si>
  <si>
    <t>System behaves exactly as specified: Clicking notification redirects to related screen.</t>
  </si>
  <si>
    <t>TC-0162</t>
  </si>
  <si>
    <t>Dashboard Notifications - API 'GET `/api/notifications' returns success for valid authorized request</t>
  </si>
  <si>
    <t>1. Obtain a valid authentication token for role 'Recruiter'.
2. Send request: GET `/api/notifications with valid payload/parameters.
3. Inspect the response.</t>
  </si>
  <si>
    <t>TC-0163</t>
  </si>
  <si>
    <t>Dashboard Notifications - API 'GET `/api/notifications' rejects unauthorized/unauthenticated request</t>
  </si>
  <si>
    <t>1. Send request: GET `/api/notifications without a valid authentication token.
2. Inspect the response.</t>
  </si>
  <si>
    <t>TC-0164</t>
  </si>
  <si>
    <t>Dashboard Notifications - API 'GET `/api/notifications' handles invalid/malformed payload</t>
  </si>
  <si>
    <t>1. Obtain a valid authentication token for role 'Recruiter'.
2. Send request: GET `/api/notifications with missing required fields or malformed JSON.
3. Inspect the response.</t>
  </si>
  <si>
    <t>TC-0165</t>
  </si>
  <si>
    <t>Dashboard Notifications - API 'GET `/api/notifications' handles non-existent resource gracefully</t>
  </si>
  <si>
    <t>1. Obtain a valid authentication token for role 'Recruiter'.
2. Send request: GET `/api/notifications referencing an ID that does not exist.
3. Inspect the response.</t>
  </si>
  <si>
    <t>TC-0166</t>
  </si>
  <si>
    <t>Dashboard Notifications - API 'PUT `/api/notifications/read' returns success for valid authorized request</t>
  </si>
  <si>
    <t>1. Obtain a valid authentication token for role 'Recruiter'.
2. Send request: PUT `/api/notifications/read with valid payload/parameters.
3. Inspect the response.</t>
  </si>
  <si>
    <t>TC-0167</t>
  </si>
  <si>
    <t>Dashboard Notifications - API 'PUT `/api/notifications/read' rejects unauthorized/unauthenticated request</t>
  </si>
  <si>
    <t>1. Send request: PUT `/api/notifications/read without a valid authentication token.
2. Inspect the response.</t>
  </si>
  <si>
    <t>TC-0168</t>
  </si>
  <si>
    <t>Dashboard Notifications - API 'PUT `/api/notifications/read' handles invalid/malformed payload</t>
  </si>
  <si>
    <t>1. Obtain a valid authentication token for role 'Recruiter'.
2. Send request: PUT `/api/notifications/read with missing required fields or malformed JSON.
3. Inspect the response.</t>
  </si>
  <si>
    <t>TC-0169</t>
  </si>
  <si>
    <t>Dashboard Notifications - API 'PUT `/api/notifications/read' handles non-existent resource gracefully</t>
  </si>
  <si>
    <t>1. Obtain a valid authentication token for role 'Recruiter'.
2. Send request: PUT `/api/notifications/read referencing an ID that does not exist.
3. Inspect the response.</t>
  </si>
  <si>
    <t>TC-0170</t>
  </si>
  <si>
    <t>Dashboard Notifications - Access denied for unauthorized role (Super Admin)</t>
  </si>
  <si>
    <t>1. Log in as Super Admin.
2. Attempt to access/perform: "Dashboard Notifications".</t>
  </si>
  <si>
    <t>TC-0171</t>
  </si>
  <si>
    <t>Dashboard Notifications - Access denied for unauthorized role (Candidate)</t>
  </si>
  <si>
    <t>1. Log in as Candidate.
2. Attempt to access/perform: "Dashboard Notifications".</t>
  </si>
  <si>
    <t>TC-0172</t>
  </si>
  <si>
    <t>Dashboard Notifications - Displays correctly when no data is available</t>
  </si>
  <si>
    <t>1. Recruiter account exists and is authenticated where applicable.
2. Ensure there is no underlying data (empty dataset).
3. Open the screen.</t>
  </si>
  <si>
    <t>TC-0173</t>
  </si>
  <si>
    <t>Dashboard Notifications - Handles large dataset with pagination correctly</t>
  </si>
  <si>
    <t>1. Recruiter account exists and is authenticated where applicable.
2. Ensure the dataset contains a large number of records (e.g. 500+).
3. Load the screen and navigate through pages.</t>
  </si>
  <si>
    <t>TC-0174</t>
  </si>
  <si>
    <t>Dashboard Quick Actions - Buttons visible.</t>
  </si>
  <si>
    <t>1. Set up preconditions: User account exists and is authenticated where applicable.
2. Perform the action described: "Buttons visible."
3. Observe system behaviour.</t>
  </si>
  <si>
    <t>System behaves exactly as specified: Buttons visible.</t>
  </si>
  <si>
    <t>TC-0175</t>
  </si>
  <si>
    <t>Dashboard Quick Actions - Redirect correctly.</t>
  </si>
  <si>
    <t>1. Set up preconditions: User account exists and is authenticated where applicable.
2. Perform the action described: "Redirect correctly."
3. Observe system behaviour.</t>
  </si>
  <si>
    <t>System behaves exactly as specified: Redirect correctly.</t>
  </si>
  <si>
    <t>TC-0176</t>
  </si>
  <si>
    <t>Dashboard Quick Actions - Permission controlled.</t>
  </si>
  <si>
    <t>1. Set up preconditions: User account exists and is authenticated where applicable.
2. Perform the action described: "Permission controlled."
3. Observe system behaviour.</t>
  </si>
  <si>
    <t>System behaves exactly as specified: Permission controlled.</t>
  </si>
  <si>
    <t>TC-0177</t>
  </si>
  <si>
    <t>Dashboard Quick Actions - Access denied for unauthorized role (Super Admin)</t>
  </si>
  <si>
    <t>1. Log in as Super Admin.
2. Attempt to access/perform: "Dashboard Quick Actions".</t>
  </si>
  <si>
    <t>TC-0178</t>
  </si>
  <si>
    <t>Dashboard Quick Actions - Access denied for unauthorized role (Recruiter)</t>
  </si>
  <si>
    <t>1. Log in as Recruiter.
2. Attempt to access/perform: "Dashboard Quick Actions".</t>
  </si>
  <si>
    <t>TC-0179</t>
  </si>
  <si>
    <t>Dashboard Quick Actions - Access denied for unauthorized role (Candidate)</t>
  </si>
  <si>
    <t>1. Log in as Candidate.
2. Attempt to access/perform: "Dashboard Quick Actions".</t>
  </si>
  <si>
    <t>TC-0180</t>
  </si>
  <si>
    <t>Dashboard Quick Actions - Displays correctly when no data is available</t>
  </si>
  <si>
    <t>1. User account exists and is authenticated where applicable.
2. Ensure there is no underlying data (empty dataset).
3. Open the screen.</t>
  </si>
  <si>
    <t>TC-0181</t>
  </si>
  <si>
    <t>Dashboard Quick Actions - Handles large dataset with pagination correctly</t>
  </si>
  <si>
    <t>1. User account exists and is authenticated where applicable.
2. Ensure the dataset contains a large number of records (e.g. 500+).
3. Load the screen and navigate through pages.</t>
  </si>
  <si>
    <t>TC-0182</t>
  </si>
  <si>
    <t>Activity Timeline - Latest activity first.</t>
  </si>
  <si>
    <t>1. Set up preconditions: User account exists and is authenticated where applicable.
2. Perform the action described: "Latest activity first."
3. Observe system behaviour.</t>
  </si>
  <si>
    <t>System behaves exactly as specified: Latest activity first.</t>
  </si>
  <si>
    <t>TC-0183</t>
  </si>
  <si>
    <t>Activity Timeline - Timestamp displayed.</t>
  </si>
  <si>
    <t>1. Set up preconditions: User account exists and is authenticated where applicable.
2. Perform the action described: "Timestamp displayed."
3. Observe system behaviour.</t>
  </si>
  <si>
    <t>System behaves exactly as specified: Timestamp displayed.</t>
  </si>
  <si>
    <t>TC-0184</t>
  </si>
  <si>
    <t>Activity Timeline - User responsible displayed.</t>
  </si>
  <si>
    <t>1. Set up preconditions: User account exists and is authenticated where applicable.
2. Perform the action described: "User responsible displayed."
3. Observe system behaviour.</t>
  </si>
  <si>
    <t>System behaves exactly as specified: User responsible displayed.</t>
  </si>
  <si>
    <t>TC-0185</t>
  </si>
  <si>
    <t>Activity Timeline - Filter available.</t>
  </si>
  <si>
    <t>1. Set up preconditions: User account exists and is authenticated where applicable.
2. Perform the action described: "Filter available."
3. Observe system behaviour.</t>
  </si>
  <si>
    <t>System behaves exactly as specified: Filter available.</t>
  </si>
  <si>
    <t>TC-0186</t>
  </si>
  <si>
    <t>Activity Timeline - API 'GET `/api/activity' returns success for valid authorized request</t>
  </si>
  <si>
    <t>1. Obtain a valid authentication token for role 'User'.
2. Send request: GET `/api/activity with valid payload/parameters.
3. Inspect the response.</t>
  </si>
  <si>
    <t>TC-0187</t>
  </si>
  <si>
    <t>Activity Timeline - API 'GET `/api/activity' rejects unauthorized/unauthenticated request</t>
  </si>
  <si>
    <t>1. Send request: GET `/api/activity without a valid authentication token.
2. Inspect the response.</t>
  </si>
  <si>
    <t>TC-0188</t>
  </si>
  <si>
    <t>Activity Timeline - API 'GET `/api/activity' handles invalid/malformed payload</t>
  </si>
  <si>
    <t>1. Obtain a valid authentication token for role 'User'.
2. Send request: GET `/api/activity with missing required fields or malformed JSON.
3. Inspect the response.</t>
  </si>
  <si>
    <t>TC-0189</t>
  </si>
  <si>
    <t>Activity Timeline - API 'GET `/api/activity' handles non-existent resource gracefully</t>
  </si>
  <si>
    <t>1. Obtain a valid authentication token for role 'User'.
2. Send request: GET `/api/activity referencing an ID that does not exist.
3. Inspect the response.</t>
  </si>
  <si>
    <t>TC-0190</t>
  </si>
  <si>
    <t>Activity Timeline - Access denied for unauthorized role (Super Admin)</t>
  </si>
  <si>
    <t>1. Log in as Super Admin.
2. Attempt to access/perform: "Activity Timeline".</t>
  </si>
  <si>
    <t>TC-0191</t>
  </si>
  <si>
    <t>Activity Timeline - Access denied for unauthorized role (Recruiter)</t>
  </si>
  <si>
    <t>1. Log in as Recruiter.
2. Attempt to access/perform: "Activity Timeline".</t>
  </si>
  <si>
    <t>TC-0192</t>
  </si>
  <si>
    <t>Activity Timeline - Access denied for unauthorized role (Candidate)</t>
  </si>
  <si>
    <t>1. Log in as Candidate.
2. Attempt to access/perform: "Activity Timeline".</t>
  </si>
  <si>
    <t>TC-0193</t>
  </si>
  <si>
    <t>Global Search - Results returned within 2 seconds.</t>
  </si>
  <si>
    <t>1. Set up preconditions: User account exists and is authenticated where applicable.
2. Perform the action described: "Results returned within 2 seconds."
3. Observe system behaviour.</t>
  </si>
  <si>
    <t>System behaves exactly as specified: Results returned within 2 seconds.</t>
  </si>
  <si>
    <t>TC-0194</t>
  </si>
  <si>
    <t>Global Search - Partial keyword supported.</t>
  </si>
  <si>
    <t>1. Set up preconditions: User account exists and is authenticated where applicable.
2. Perform the action described: "Partial keyword supported."
3. Observe system behaviour.</t>
  </si>
  <si>
    <t>System behaves exactly as specified: Partial keyword supported.</t>
  </si>
  <si>
    <t>TC-0195</t>
  </si>
  <si>
    <t>Global Search - No duplicate results.</t>
  </si>
  <si>
    <t>1. Set up preconditions: User account exists and is authenticated where applicable.
2. Perform the action described: "No duplicate results."
3. Observe system behaviour.</t>
  </si>
  <si>
    <t>System behaves exactly as specified: No duplicate results.</t>
  </si>
  <si>
    <t>TC-0196</t>
  </si>
  <si>
    <t>Global Search - Pagination supported.</t>
  </si>
  <si>
    <t>1. Set up preconditions: User account exists and is authenticated where applicable.
2. Perform the action described: "Pagination supported."
3. Observe system behaviour.</t>
  </si>
  <si>
    <t>System behaves exactly as specified: Pagination supported.</t>
  </si>
  <si>
    <t>TC-0197</t>
  </si>
  <si>
    <t>Global Search - API 'GET `/api/search' returns success for valid authorized request</t>
  </si>
  <si>
    <t>1. Obtain a valid authentication token for role 'User'.
2. Send request: GET `/api/search with valid payload/parameters.
3. Inspect the response.</t>
  </si>
  <si>
    <t>TC-0198</t>
  </si>
  <si>
    <t>Global Search - API 'GET `/api/search' rejects unauthorized/unauthenticated request</t>
  </si>
  <si>
    <t>1. Send request: GET `/api/search without a valid authentication token.
2. Inspect the response.</t>
  </si>
  <si>
    <t>TC-0199</t>
  </si>
  <si>
    <t>Global Search - API 'GET `/api/search' handles invalid/malformed payload</t>
  </si>
  <si>
    <t>1. Obtain a valid authentication token for role 'User'.
2. Send request: GET `/api/search with missing required fields or malformed JSON.
3. Inspect the response.</t>
  </si>
  <si>
    <t>TC-0200</t>
  </si>
  <si>
    <t>Global Search - API 'GET `/api/search' handles non-existent resource gracefully</t>
  </si>
  <si>
    <t>1. Obtain a valid authentication token for role 'User'.
2. Send request: GET `/api/search referencing an ID that does not exist.
3. Inspect the response.</t>
  </si>
  <si>
    <t>TC-0201</t>
  </si>
  <si>
    <t>Global Search - Access denied for unauthorized role (Super Admin)</t>
  </si>
  <si>
    <t>1. Log in as Super Admin.
2. Attempt to access/perform: "Global Search".</t>
  </si>
  <si>
    <t>TC-0202</t>
  </si>
  <si>
    <t>Global Search - Access denied for unauthorized role (Recruiter)</t>
  </si>
  <si>
    <t>1. Log in as Recruiter.
2. Attempt to access/perform: "Global Search".</t>
  </si>
  <si>
    <t>TC-0203</t>
  </si>
  <si>
    <t>Global Search - Access denied for unauthorized role (Candidate)</t>
  </si>
  <si>
    <t>1. Log in as Candidate.
2. Attempt to access/perform: "Global Search".</t>
  </si>
  <si>
    <t>TC-0204</t>
  </si>
  <si>
    <t>Global Search - Displays correctly when no data is available</t>
  </si>
  <si>
    <t>TC-0205</t>
  </si>
  <si>
    <t>Global Search - Handles large dataset with pagination correctly</t>
  </si>
  <si>
    <t>TC-0206</t>
  </si>
  <si>
    <t>Candidate Dashboard - Dashboard displays</t>
  </si>
  <si>
    <t>Candidate account exists and is authenticated where applicable.</t>
  </si>
  <si>
    <t>1. Set up preconditions: Candidate account exists and is authenticated where applicable.
2. Perform the action described: "Dashboard displays"
3. Observe system behaviour.</t>
  </si>
  <si>
    <t>System behaves exactly as specified: Dashboard displays</t>
  </si>
  <si>
    <t>TC-0207</t>
  </si>
  <si>
    <t>Candidate Dashboard - Welcome message</t>
  </si>
  <si>
    <t>1. Set up preconditions: Candidate account exists and is authenticated where applicable.
2. Perform the action described: "Welcome message"
3. Observe system behaviour.</t>
  </si>
  <si>
    <t>System behaves exactly as specified: Welcome message</t>
  </si>
  <si>
    <t>TC-0208</t>
  </si>
  <si>
    <t>Candidate Dashboard - Progress bar</t>
  </si>
  <si>
    <t>1. Set up preconditions: Candidate account exists and is authenticated where applicable.
2. Perform the action described: "Progress bar"
3. Observe system behaviour.</t>
  </si>
  <si>
    <t>System behaves exactly as specified: Progress bar</t>
  </si>
  <si>
    <t>TC-0209</t>
  </si>
  <si>
    <t>Candidate Dashboard - Pending documents</t>
  </si>
  <si>
    <t>1. Set up preconditions: Candidate account exists and is authenticated where applicable.
2. Perform the action described: "Pending documents"
3. Observe system behaviour.</t>
  </si>
  <si>
    <t>System behaves exactly as specified: Pending documents</t>
  </si>
  <si>
    <t>TC-0210</t>
  </si>
  <si>
    <t>Candidate Dashboard - Pending signatures</t>
  </si>
  <si>
    <t>1. Set up preconditions: Candidate account exists and is authenticated where applicable.
2. Perform the action described: "Pending signatures"
3. Observe system behaviour.</t>
  </si>
  <si>
    <t>System behaves exactly as specified: Pending signatures</t>
  </si>
  <si>
    <t>TC-0211</t>
  </si>
  <si>
    <t>Candidate Dashboard - Assigned learning</t>
  </si>
  <si>
    <t>1. Set up preconditions: Candidate account exists and is authenticated where applicable.
2. Perform the action described: "Assigned learning"
3. Observe system behaviour.</t>
  </si>
  <si>
    <t>System behaves exactly as specified: Assigned learning</t>
  </si>
  <si>
    <t>TC-0212</t>
  </si>
  <si>
    <t>Candidate Dashboard - Announcements</t>
  </si>
  <si>
    <t>1. Set up preconditions: Candidate account exists and is authenticated where applicable.
2. Perform the action described: "Announcements"
3. Observe system behaviour.</t>
  </si>
  <si>
    <t>System behaves exactly as specified: Announcements</t>
  </si>
  <si>
    <t>TC-0213</t>
  </si>
  <si>
    <t>Candidate Dashboard - Profile completion percentage</t>
  </si>
  <si>
    <t>1. Set up preconditions: Candidate account exists and is authenticated where applicable.
2. Perform the action described: "Profile completion percentage"
3. Observe system behaviour.</t>
  </si>
  <si>
    <t>System behaves exactly as specified: Profile completion percentage</t>
  </si>
  <si>
    <t>TC-0214</t>
  </si>
  <si>
    <t>Candidate Dashboard - Access denied for unauthorized role (Super Admin)</t>
  </si>
  <si>
    <t>1. Log in as Super Admin.
2. Attempt to access/perform: "Candidate Dashboard".</t>
  </si>
  <si>
    <t>System denies access (HTTP 403 / hidden UI) since this feature is restricted to the 'Candidate' role.</t>
  </si>
  <si>
    <t>TC-0215</t>
  </si>
  <si>
    <t>Candidate Dashboard - Access denied for unauthorized role (Recruiter)</t>
  </si>
  <si>
    <t>1. Log in as Recruiter.
2. Attempt to access/perform: "Candidate Dashboard".</t>
  </si>
  <si>
    <t>TC-0216</t>
  </si>
  <si>
    <t>Candidate Dashboard - Displays correctly when no data is available</t>
  </si>
  <si>
    <t>1. Candidate account exists and is authenticated where applicable.
2. Ensure there is no underlying data (empty dataset).
3. Open the screen.</t>
  </si>
  <si>
    <t>TC-0217</t>
  </si>
  <si>
    <t>Candidate Dashboard - Handles large dataset with pagination correctly</t>
  </si>
  <si>
    <t>1. Candidate account exists and is authenticated where applicable.
2. Ensure the dataset contains a large number of records (e.g. 500+).
3. Load the screen and navigate through pages.</t>
  </si>
  <si>
    <t>TC-0218</t>
  </si>
  <si>
    <t>Onboarding Progress Tracker - Percentage updates automatically.</t>
  </si>
  <si>
    <t>1. Set up preconditions: User account exists and is authenticated where applicable.
2. Perform the action described: "Percentage updates automatically."
3. Observe system behaviour.</t>
  </si>
  <si>
    <t>System behaves exactly as specified: Percentage updates automatically.</t>
  </si>
  <si>
    <t>TC-0219</t>
  </si>
  <si>
    <t>Onboarding Progress Tracker - Completed tasks highlighted.</t>
  </si>
  <si>
    <t>1. Set up preconditions: User account exists and is authenticated where applicable.
2. Perform the action described: "Completed tasks highlighted."
3. Observe system behaviour.</t>
  </si>
  <si>
    <t>System behaves exactly as specified: Completed tasks highlighted.</t>
  </si>
  <si>
    <t>TC-0220</t>
  </si>
  <si>
    <t>Onboarding Progress Tracker - Pending tasks clickable.</t>
  </si>
  <si>
    <t>1. Set up preconditions: User account exists and is authenticated where applicable.
2. Perform the action described: "Pending tasks clickable."
3. Observe system behaviour.</t>
  </si>
  <si>
    <t>System behaves exactly as specified: Pending tasks clickable.</t>
  </si>
  <si>
    <t>TC-0221</t>
  </si>
  <si>
    <t>Onboarding Progress Tracker - API 'GET `/api/onboarding/progress' returns success for valid authorized request</t>
  </si>
  <si>
    <t>1. Obtain a valid authentication token for role 'User'.
2. Send request: GET `/api/onboarding/progress with valid payload/parameters.
3. Inspect the response.</t>
  </si>
  <si>
    <t>TC-0222</t>
  </si>
  <si>
    <t>Onboarding Progress Tracker - API 'GET `/api/onboarding/progress' rejects unauthorized/unauthenticated request</t>
  </si>
  <si>
    <t>1. Send request: GET `/api/onboarding/progress without a valid authentication token.
2. Inspect the response.</t>
  </si>
  <si>
    <t>TC-0223</t>
  </si>
  <si>
    <t>Onboarding Progress Tracker - API 'GET `/api/onboarding/progress' handles invalid/malformed payload</t>
  </si>
  <si>
    <t>1. Obtain a valid authentication token for role 'User'.
2. Send request: GET `/api/onboarding/progress with missing required fields or malformed JSON.
3. Inspect the response.</t>
  </si>
  <si>
    <t>TC-0224</t>
  </si>
  <si>
    <t>Onboarding Progress Tracker - API 'GET `/api/onboarding/progress' handles non-existent resource gracefully</t>
  </si>
  <si>
    <t>1. Obtain a valid authentication token for role 'User'.
2. Send request: GET `/api/onboarding/progress referencing an ID that does not exist.
3. Inspect the response.</t>
  </si>
  <si>
    <t>TC-0225</t>
  </si>
  <si>
    <t>Onboarding Progress Tracker - Access denied for unauthorized role (Super Admin)</t>
  </si>
  <si>
    <t>1. Log in as Super Admin.
2. Attempt to access/perform: "Onboarding Progress Tracker".</t>
  </si>
  <si>
    <t>TC-0226</t>
  </si>
  <si>
    <t>Onboarding Progress Tracker - Access denied for unauthorized role (Recruiter)</t>
  </si>
  <si>
    <t>1. Log in as Recruiter.
2. Attempt to access/perform: "Onboarding Progress Tracker".</t>
  </si>
  <si>
    <t>TC-0227</t>
  </si>
  <si>
    <t>Onboarding Progress Tracker - Access denied for unauthorized role (Candidate)</t>
  </si>
  <si>
    <t>1. Log in as Candidate.
2. Attempt to access/perform: "Onboarding Progress Tracker".</t>
  </si>
  <si>
    <t>TC-0228</t>
  </si>
  <si>
    <t>Announcements - Latest announcements first.</t>
  </si>
  <si>
    <t>1. Set up preconditions: User account exists and is authenticated where applicable.
2. Perform the action described: "Latest announcements first."
3. Observe system behaviour.</t>
  </si>
  <si>
    <t>System behaves exactly as specified: Latest announcements first.</t>
  </si>
  <si>
    <t>TC-0229</t>
  </si>
  <si>
    <t>Announcements - Rich text supported.</t>
  </si>
  <si>
    <t>1. Set up preconditions: User account exists and is authenticated where applicable.
2. Perform the action described: "Rich text supported."
3. Observe system behaviour.</t>
  </si>
  <si>
    <t>System behaves exactly as specified: Rich text supported.</t>
  </si>
  <si>
    <t>TC-0230</t>
  </si>
  <si>
    <t>Announcements - Attachments supported.</t>
  </si>
  <si>
    <t>1. Set up preconditions: User account exists and is authenticated where applicable.
2. Perform the action described: "Attachments supported."
3. Observe system behaviour.</t>
  </si>
  <si>
    <t>System behaves exactly as specified: Attachments supported.</t>
  </si>
  <si>
    <t>TC-0231</t>
  </si>
  <si>
    <t>Announcements - Read status maintained.</t>
  </si>
  <si>
    <t>1. Set up preconditions: User account exists and is authenticated where applicable.
2. Perform the action described: "Read status maintained."
3. Observe system behaviour.</t>
  </si>
  <si>
    <t>System behaves exactly as specified: Read status maintained.</t>
  </si>
  <si>
    <t>TC-0232</t>
  </si>
  <si>
    <t>Announcements - Access denied for unauthorized role (Super Admin)</t>
  </si>
  <si>
    <t>1. Log in as Super Admin.
2. Attempt to access/perform: "Announcements".</t>
  </si>
  <si>
    <t>TC-0233</t>
  </si>
  <si>
    <t>Announcements - Access denied for unauthorized role (Recruiter)</t>
  </si>
  <si>
    <t>1. Log in as Recruiter.
2. Attempt to access/perform: "Announcements".</t>
  </si>
  <si>
    <t>TC-0234</t>
  </si>
  <si>
    <t>Announcements - Access denied for unauthorized role (Candidate)</t>
  </si>
  <si>
    <t>1. Log in as Candidate.
2. Attempt to access/perform: "Announcements".</t>
  </si>
  <si>
    <t>TC-0235</t>
  </si>
  <si>
    <t>Candidate Task List - Tasks sorted by priority.</t>
  </si>
  <si>
    <t>1. Set up preconditions: User account exists and is authenticated where applicable.
2. Perform the action described: "Tasks sorted by priority."
3. Observe system behaviour.</t>
  </si>
  <si>
    <t>System behaves exactly as specified: Tasks sorted by priority.</t>
  </si>
  <si>
    <t>TC-0236</t>
  </si>
  <si>
    <t>Candidate Task List - Due dates displayed.</t>
  </si>
  <si>
    <t>1. Set up preconditions: User account exists and is authenticated where applicable.
2. Perform the action described: "Due dates displayed."
3. Observe system behaviour.</t>
  </si>
  <si>
    <t>System behaves exactly as specified: Due dates displayed.</t>
  </si>
  <si>
    <t>TC-0237</t>
  </si>
  <si>
    <t>Candidate Task List - Completion status visible.</t>
  </si>
  <si>
    <t>1. Set up preconditions: User account exists and is authenticated where applicable.
2. Perform the action described: "Completion status visible."
3. Observe system behaviour.</t>
  </si>
  <si>
    <t>System behaves exactly as specified: Completion status visible.</t>
  </si>
  <si>
    <t>TC-0238</t>
  </si>
  <si>
    <t>Candidate Task List - Clicking task opens relevant page.</t>
  </si>
  <si>
    <t>1. Set up preconditions: User account exists and is authenticated where applicable.
2. Perform the action described: "Clicking task opens relevant page."
3. Observe system behaviour.</t>
  </si>
  <si>
    <t>System behaves exactly as specified: Clicking task opens relevant page.</t>
  </si>
  <si>
    <t>TC-0239</t>
  </si>
  <si>
    <t>Candidate Task List - Access denied for unauthorized role (Super Admin)</t>
  </si>
  <si>
    <t>1. Log in as Super Admin.
2. Attempt to access/perform: "Candidate Task List".</t>
  </si>
  <si>
    <t>TC-0240</t>
  </si>
  <si>
    <t>Candidate Task List - Access denied for unauthorized role (Recruiter)</t>
  </si>
  <si>
    <t>1. Log in as Recruiter.
2. Attempt to access/perform: "Candidate Task List".</t>
  </si>
  <si>
    <t>TC-0241</t>
  </si>
  <si>
    <t>Candidate Task List - Access denied for unauthorized role (Candidate)</t>
  </si>
  <si>
    <t>1. Log in as Candidate.
2. Attempt to access/perform: "Candidate Task List".</t>
  </si>
  <si>
    <t>TC-0242</t>
  </si>
  <si>
    <t>Candidate Task List - Displays correctly when no data is available</t>
  </si>
  <si>
    <t>TC-0243</t>
  </si>
  <si>
    <t>Candidate Task List - Handles large dataset with pagination correctly</t>
  </si>
  <si>
    <t>TC-0244</t>
  </si>
  <si>
    <t>Candidate Dashboard Personalization - Data retrieved from employee profile.</t>
  </si>
  <si>
    <t>1. Set up preconditions: User account exists and is authenticated where applicable.
2. Perform the action described: "Data retrieved from employee profile."
3. Observe system behaviour.</t>
  </si>
  <si>
    <t>System behaves exactly as specified: Data retrieved from employee profile.</t>
  </si>
  <si>
    <t>TC-0245</t>
  </si>
  <si>
    <t>Candidate Dashboard Personalization - Responsive layout.</t>
  </si>
  <si>
    <t>1. Set up preconditions: User account exists and is authenticated where applicable.
2. Perform the action described: "Responsive layout."
3. Observe system behaviour.</t>
  </si>
  <si>
    <t>System behaves exactly as specified: Responsive layout.</t>
  </si>
  <si>
    <t>TC-0246</t>
  </si>
  <si>
    <t>Candidate Dashboard Personalization - Information updated automatically.</t>
  </si>
  <si>
    <t>1. Set up preconditions: User account exists and is authenticated where applicable.
2. Perform the action described: "Information updated automatically."
3. Observe system behaviour.</t>
  </si>
  <si>
    <t>System behaves exactly as specified: Information updated automatically.</t>
  </si>
  <si>
    <t>TC-0247</t>
  </si>
  <si>
    <t>Candidate Dashboard Personalization - Access denied for unauthorized role (Super Admin)</t>
  </si>
  <si>
    <t>1. Log in as Super Admin.
2. Attempt to access/perform: "Candidate Dashboard Personalization".</t>
  </si>
  <si>
    <t>TC-0248</t>
  </si>
  <si>
    <t>Candidate Dashboard Personalization - Access denied for unauthorized role (Recruiter)</t>
  </si>
  <si>
    <t>1. Log in as Recruiter.
2. Attempt to access/perform: "Candidate Dashboard Personalization".</t>
  </si>
  <si>
    <t>TC-0249</t>
  </si>
  <si>
    <t>Candidate Dashboard Personalization - Access denied for unauthorized role (Candidate)</t>
  </si>
  <si>
    <t>1. Log in as Candidate.
2. Attempt to access/perform: "Candidate Dashboard Personalization".</t>
  </si>
  <si>
    <t>TC-0250</t>
  </si>
  <si>
    <t>Candidate Dashboard Personalization - Displays correctly when no data is available</t>
  </si>
  <si>
    <t>TC-0251</t>
  </si>
  <si>
    <t>Candidate Dashboard Personalization - Handles large dataset with pagination correctly</t>
  </si>
  <si>
    <t>TC-0252</t>
  </si>
  <si>
    <t>Convert Candidate to Employee - Verify complete end-to-end flow with valid data</t>
  </si>
  <si>
    <t>Candidate accepted offer. Required documents verified. NDA signed. HR approval completed.</t>
  </si>
  <si>
    <t>1. Recruiter opens Candidate Profile.
2. Reviews onboarding status.
3. Clicks Convert to Employee.
4. System validates prerequisites.
5. Employee profile created.
6. Candidate status updated.
7. Employee ID generated.
8. Confirmation displayed.</t>
  </si>
  <si>
    <t>TC-0253</t>
  </si>
  <si>
    <t>Convert Candidate to Employee - Candidate successfully converted.</t>
  </si>
  <si>
    <t>1. Set up preconditions: Candidate accepted offer. Required documents verified. NDA signed. HR approval completed.
2. Perform the action described: "Candidate successfully converted."
3. Observe system behaviour.</t>
  </si>
  <si>
    <t>System behaves exactly as specified: Candidate successfully converted.</t>
  </si>
  <si>
    <t>TC-0254</t>
  </si>
  <si>
    <t>Convert Candidate to Employee - No duplicate records created.</t>
  </si>
  <si>
    <t>1. Set up preconditions: Candidate accepted offer. Required documents verified. NDA signed. HR approval completed.
2. Perform the action described: "No duplicate records created."
3. Observe system behaviour.</t>
  </si>
  <si>
    <t>System behaves exactly as specified: No duplicate records created.</t>
  </si>
  <si>
    <t>TC-0255</t>
  </si>
  <si>
    <t>Convert Candidate to Employee - Recruitment history retained.</t>
  </si>
  <si>
    <t>1. Set up preconditions: Candidate accepted offer. Required documents verified. NDA signed. HR approval completed.
2. Perform the action described: "Recruitment history retained."
3. Observe system behaviour.</t>
  </si>
  <si>
    <t>System behaves exactly as specified: Recruitment history retained.</t>
  </si>
  <si>
    <t>TC-0256</t>
  </si>
  <si>
    <t>Convert Candidate to Employee - Employee profile generated.</t>
  </si>
  <si>
    <t>1. Set up preconditions: Candidate accepted offer. Required documents verified. NDA signed. HR approval completed.
2. Perform the action described: "Employee profile generated."
3. Observe system behaviour.</t>
  </si>
  <si>
    <t>System behaves exactly as specified: Employee profile generated.</t>
  </si>
  <si>
    <t>TC-0257</t>
  </si>
  <si>
    <t>Convert Candidate to Employee - Employee appears in Employee Directory.</t>
  </si>
  <si>
    <t>1. Set up preconditions: Candidate accepted offer. Required documents verified. NDA signed. HR approval completed.
2. Perform the action described: "Employee appears in Employee Directory."
3. Observe system behaviour.</t>
  </si>
  <si>
    <t>System behaves exactly as specified: Employee appears in Employee Directory.</t>
  </si>
  <si>
    <t>TC-0258</t>
  </si>
  <si>
    <t>Convert Candidate to Employee - Business rule enforcement: Conversion allowed only once.</t>
  </si>
  <si>
    <t>1. Candidate accepted offer. Required documents verified. NDA signed. HR approval completed.
2. Perform an action that would violate the rule: "Conversion allowed only once."
3. Submit / confirm the action.</t>
  </si>
  <si>
    <t>System enforces business rule and prevents violation: Conversion allowed only once.</t>
  </si>
  <si>
    <t>TC-0259</t>
  </si>
  <si>
    <t>Convert Candidate to Employee - Business rule enforcement: Mandatory onboarding tasks must be completed.</t>
  </si>
  <si>
    <t>1. Candidate accepted offer. Required documents verified. NDA signed. HR approval completed.
2. Perform an action that would violate the rule: "Mandatory onboarding tasks must be completed."
3. Submit / confirm the action.</t>
  </si>
  <si>
    <t>System enforces business rule and prevents violation: Mandatory onboarding tasks must be completed.</t>
  </si>
  <si>
    <t>TC-0260</t>
  </si>
  <si>
    <t>Convert Candidate to Employee - Business rule enforcement: Audit log created.</t>
  </si>
  <si>
    <t>1. Candidate accepted offer. Required documents verified. NDA signed. HR approval completed.
2. Perform an action that would violate the rule: "Audit log created."
3. Submit / confirm the action.</t>
  </si>
  <si>
    <t>System enforces business rule and prevents violation: Audit log created.</t>
  </si>
  <si>
    <t>TC-0261</t>
  </si>
  <si>
    <t>Convert Candidate to Employee - API 'POST /api/employees/create-from-candidate' returns success for valid authorized request</t>
  </si>
  <si>
    <t>1. Obtain a valid authentication token for role 'Recruiter'.
2. Send request: POST /api/employees/create-from-candidate with valid payload/parameters.
3. Inspect the response.</t>
  </si>
  <si>
    <t>TC-0262</t>
  </si>
  <si>
    <t>Convert Candidate to Employee - API 'POST /api/employees/create-from-candidate' rejects unauthorized/unauthenticated request</t>
  </si>
  <si>
    <t>1. Send request: POST /api/employees/create-from-candidate without a valid authentication token.
2. Inspect the response.</t>
  </si>
  <si>
    <t>TC-0263</t>
  </si>
  <si>
    <t>Convert Candidate to Employee - API 'POST /api/employees/create-from-candidate' handles invalid/malformed payload</t>
  </si>
  <si>
    <t>1. Obtain a valid authentication token for role 'Recruiter'.
2. Send request: POST /api/employees/create-from-candidate with missing required fields or malformed JSON.
3. Inspect the response.</t>
  </si>
  <si>
    <t>TC-0264</t>
  </si>
  <si>
    <t>Convert Candidate to Employee - API 'POST /api/employees/create-from-candidate' handles non-existent resource gracefully</t>
  </si>
  <si>
    <t>1. Obtain a valid authentication token for role 'Recruiter'.
2. Send request: POST /api/employees/create-from-candidate referencing an ID that does not exist.
3. Inspect the response.</t>
  </si>
  <si>
    <t>TC-0265</t>
  </si>
  <si>
    <t>Convert Candidate to Employee - Access denied for unauthorized role (Super Admin)</t>
  </si>
  <si>
    <t>1. Log in as Super Admin.
2. Attempt to access/perform: "Convert Candidate to Employee".</t>
  </si>
  <si>
    <t>TC-0266</t>
  </si>
  <si>
    <t>Convert Candidate to Employee - Access denied for unauthorized role (Candidate)</t>
  </si>
  <si>
    <t>1. Log in as Candidate.
2. Attempt to access/perform: "Convert Candidate to Employee".</t>
  </si>
  <si>
    <t>TC-0267</t>
  </si>
  <si>
    <t>Generate Employee ID - Employee ID unique.</t>
  </si>
  <si>
    <t>1. Set up preconditions: User account exists and is authenticated where applicable.
2. Perform the action described: "Employee ID unique."
3. Observe system behaviour.</t>
  </si>
  <si>
    <t>System behaves exactly as specified: Employee ID unique.</t>
  </si>
  <si>
    <t>TC-0268</t>
  </si>
  <si>
    <t>Generate Employee ID - Generated automatically.</t>
  </si>
  <si>
    <t>1. Set up preconditions: User account exists and is authenticated where applicable.
2. Perform the action described: "Generated automatically."
3. Observe system behaviour.</t>
  </si>
  <si>
    <t>System behaves exactly as specified: Generated automatically.</t>
  </si>
  <si>
    <t>TC-0269</t>
  </si>
  <si>
    <t>Generate Employee ID - Non-editable.</t>
  </si>
  <si>
    <t>1. Set up preconditions: User account exists and is authenticated where applicable.
2. Perform the action described: "Non-editable."
3. Observe system behaviour.</t>
  </si>
  <si>
    <t>System behaves exactly as specified: Non-editable.</t>
  </si>
  <si>
    <t>TC-0270</t>
  </si>
  <si>
    <t>Generate Employee ID - Searchable.</t>
  </si>
  <si>
    <t>1. Set up preconditions: User account exists and is authenticated where applicable.
2. Perform the action described: "Searchable."
3. Observe system behaviour.</t>
  </si>
  <si>
    <t>System behaves exactly as specified: Searchable.</t>
  </si>
  <si>
    <t>TC-0271</t>
  </si>
  <si>
    <t>Generate Employee ID - Business rule enforcement: Example format:</t>
  </si>
  <si>
    <t>1. User account exists and is authenticated where applicable.
2. Perform an action that would violate the rule: "Example format:"
3. Submit / confirm the action.</t>
  </si>
  <si>
    <t>System enforces business rule and prevents violation: Example format:</t>
  </si>
  <si>
    <t>TC-0272</t>
  </si>
  <si>
    <t>Generate Employee ID - Business rule enforcement: ```</t>
  </si>
  <si>
    <t>1. User account exists and is authenticated where applicable.
2. Perform an action that would violate the rule: "```"
3. Submit / confirm the action.</t>
  </si>
  <si>
    <t>System enforces business rule and prevents violation: ```</t>
  </si>
  <si>
    <t>TC-0273</t>
  </si>
  <si>
    <t>Generate Employee ID - Business rule enforcement: MZK-2026-000123</t>
  </si>
  <si>
    <t>1. User account exists and is authenticated where applicable.
2. Perform an action that would violate the rule: "MZK-2026-000123"
3. Submit / confirm the action.</t>
  </si>
  <si>
    <t>System enforces business rule and prevents violation: MZK-2026-000123</t>
  </si>
  <si>
    <t>TC-0274</t>
  </si>
  <si>
    <t>TC-0275</t>
  </si>
  <si>
    <t>Generate Employee ID - API 'POST /api/employees/generate-id' returns success for valid authorized request</t>
  </si>
  <si>
    <t>1. Obtain a valid authentication token for role 'User'.
2. Send request: POST /api/employees/generate-id with valid payload/parameters.
3. Inspect the response.</t>
  </si>
  <si>
    <t>TC-0276</t>
  </si>
  <si>
    <t>Generate Employee ID - API 'POST /api/employees/generate-id' rejects unauthorized/unauthenticated request</t>
  </si>
  <si>
    <t>1. Send request: POST /api/employees/generate-id without a valid authentication token.
2. Inspect the response.</t>
  </si>
  <si>
    <t>TC-0277</t>
  </si>
  <si>
    <t>Generate Employee ID - API 'POST /api/employees/generate-id' handles invalid/malformed payload</t>
  </si>
  <si>
    <t>1. Obtain a valid authentication token for role 'User'.
2. Send request: POST /api/employees/generate-id with missing required fields or malformed JSON.
3. Inspect the response.</t>
  </si>
  <si>
    <t>TC-0278</t>
  </si>
  <si>
    <t>Generate Employee ID - API 'POST /api/employees/generate-id' handles non-existent resource gracefully</t>
  </si>
  <si>
    <t>1. Obtain a valid authentication token for role 'User'.
2. Send request: POST /api/employees/generate-id referencing an ID that does not exist.
3. Inspect the response.</t>
  </si>
  <si>
    <t>TC-0279</t>
  </si>
  <si>
    <t>Generate Employee ID - Access denied for unauthorized role (Super Admin)</t>
  </si>
  <si>
    <t>1. Log in as Super Admin.
2. Attempt to access/perform: "Generate Employee ID".</t>
  </si>
  <si>
    <t>TC-0280</t>
  </si>
  <si>
    <t>Generate Employee ID - Access denied for unauthorized role (Recruiter)</t>
  </si>
  <si>
    <t>1. Log in as Recruiter.
2. Attempt to access/perform: "Generate Employee ID".</t>
  </si>
  <si>
    <t>TC-0281</t>
  </si>
  <si>
    <t>Generate Employee ID - Access denied for unauthorized role (Candidate)</t>
  </si>
  <si>
    <t>1. Log in as Candidate.
2. Attempt to access/perform: "Generate Employee ID".</t>
  </si>
  <si>
    <t>TC-0282</t>
  </si>
  <si>
    <t>Employee Personal Information - Mandatory fields validated.</t>
  </si>
  <si>
    <t>1. Set up preconditions: User account exists and is authenticated where applicable.
2. Perform the action described: "Mandatory fields validated."
3. Observe system behaviour.</t>
  </si>
  <si>
    <t>System behaves exactly as specified: Mandatory fields validated.</t>
  </si>
  <si>
    <t>TC-0283</t>
  </si>
  <si>
    <t>Employee Personal Information - Profile saved.</t>
  </si>
  <si>
    <t>1. Set up preconditions: User account exists and is authenticated where applicable.
2. Perform the action described: "Profile saved."
3. Observe system behaviour.</t>
  </si>
  <si>
    <t>System behaves exactly as specified: Profile saved.</t>
  </si>
  <si>
    <t>TC-0284</t>
  </si>
  <si>
    <t>Employee Personal Information - Profile editable.</t>
  </si>
  <si>
    <t>1. Set up preconditions: User account exists and is authenticated where applicable.
2. Perform the action described: "Profile editable."
3. Observe system behaviour.</t>
  </si>
  <si>
    <t>System behaves exactly as specified: Profile editable.</t>
  </si>
  <si>
    <t>TC-0285</t>
  </si>
  <si>
    <t>Employee Personal Information - Audit history maintained.</t>
  </si>
  <si>
    <t>1. Set up preconditions: User account exists and is authenticated where applicable.
2. Perform the action described: "Audit history maintained."
3. Observe system behaviour.</t>
  </si>
  <si>
    <t>System behaves exactly as specified: Audit history maintained.</t>
  </si>
  <si>
    <t>TC-0286</t>
  </si>
  <si>
    <t>Employee Personal Information - API 'PUT /api/employees/profile/personal' returns success for valid authorized request</t>
  </si>
  <si>
    <t>1. Obtain a valid authentication token for role 'User'.
2. Send request: PUT /api/employees/profile/personal with valid payload/parameters.
3. Inspect the response.</t>
  </si>
  <si>
    <t>TC-0287</t>
  </si>
  <si>
    <t>Employee Personal Information - API 'PUT /api/employees/profile/personal' rejects unauthorized/unauthenticated request</t>
  </si>
  <si>
    <t>1. Send request: PUT /api/employees/profile/personal without a valid authentication token.
2. Inspect the response.</t>
  </si>
  <si>
    <t>TC-0288</t>
  </si>
  <si>
    <t>Employee Personal Information - API 'PUT /api/employees/profile/personal' handles invalid/malformed payload</t>
  </si>
  <si>
    <t>1. Obtain a valid authentication token for role 'User'.
2. Send request: PUT /api/employees/profile/personal with missing required fields or malformed JSON.
3. Inspect the response.</t>
  </si>
  <si>
    <t>TC-0289</t>
  </si>
  <si>
    <t>Employee Personal Information - API 'PUT /api/employees/profile/personal' handles non-existent resource gracefully</t>
  </si>
  <si>
    <t>1. Obtain a valid authentication token for role 'User'.
2. Send request: PUT /api/employees/profile/personal referencing an ID that does not exist.
3. Inspect the response.</t>
  </si>
  <si>
    <t>TC-0290</t>
  </si>
  <si>
    <t>Employee Personal Information - Access denied for unauthorized role (Super Admin)</t>
  </si>
  <si>
    <t>1. Log in as Super Admin.
2. Attempt to access/perform: "Employee Personal Information".</t>
  </si>
  <si>
    <t>TC-0291</t>
  </si>
  <si>
    <t>Employee Personal Information - Access denied for unauthorized role (Recruiter)</t>
  </si>
  <si>
    <t>1. Log in as Recruiter.
2. Attempt to access/perform: "Employee Personal Information".</t>
  </si>
  <si>
    <t>TC-0292</t>
  </si>
  <si>
    <t>Employee Personal Information - Access denied for unauthorized role (Candidate)</t>
  </si>
  <si>
    <t>1. Log in as Candidate.
2. Attempt to access/perform: "Employee Personal Information".</t>
  </si>
  <si>
    <t>TC-0293</t>
  </si>
  <si>
    <t>Contact Information - Address validated.</t>
  </si>
  <si>
    <t>1. Set up preconditions: User account exists and is authenticated where applicable.
2. Perform the action described: "Address validated."
3. Observe system behaviour.</t>
  </si>
  <si>
    <t>System behaves exactly as specified: Address validated.</t>
  </si>
  <si>
    <t>TC-0294</t>
  </si>
  <si>
    <t>Contact Information - Phone format validated.</t>
  </si>
  <si>
    <t>1. Set up preconditions: User account exists and is authenticated where applicable.
2. Perform the action described: "Phone format validated."
3. Observe system behaviour.</t>
  </si>
  <si>
    <t>System behaves exactly as specified: Phone format validated.</t>
  </si>
  <si>
    <t>TC-0295</t>
  </si>
  <si>
    <t>Contact Information - Duplicate email prevented.</t>
  </si>
  <si>
    <t>1. Set up preconditions: User account exists and is authenticated where applicable.
2. Perform the action described: "Duplicate email prevented."
3. Observe system behaviour.</t>
  </si>
  <si>
    <t>System behaves exactly as specified: Duplicate email prevented.</t>
  </si>
  <si>
    <t>TC-0296</t>
  </si>
  <si>
    <t>Contact Information - Access denied for unauthorized role (Super Admin)</t>
  </si>
  <si>
    <t>1. Log in as Super Admin.
2. Attempt to access/perform: "Contact Information".</t>
  </si>
  <si>
    <t>TC-0297</t>
  </si>
  <si>
    <t>Contact Information - Access denied for unauthorized role (Recruiter)</t>
  </si>
  <si>
    <t>1. Log in as Recruiter.
2. Attempt to access/perform: "Contact Information".</t>
  </si>
  <si>
    <t>TC-0298</t>
  </si>
  <si>
    <t>Contact Information - Access denied for unauthorized role (Candidate)</t>
  </si>
  <si>
    <t>1. Log in as Candidate.
2. Attempt to access/perform: "Contact Information".</t>
  </si>
  <si>
    <t>TC-0299</t>
  </si>
  <si>
    <t>Emergency Contact - At least one emergency contact required.</t>
  </si>
  <si>
    <t>1. Set up preconditions: User account exists and is authenticated where applicable.
2. Perform the action described: "At least one emergency contact required."
3. Observe system behaviour.</t>
  </si>
  <si>
    <t>System behaves exactly as specified: At least one emergency contact required.</t>
  </si>
  <si>
    <t>TC-0300</t>
  </si>
  <si>
    <t>Emergency Contact - Phone validation.</t>
  </si>
  <si>
    <t>1. Set up preconditions: User account exists and is authenticated where applicable.
2. Perform the action described: "Phone validation."
3. Observe system behaviour.</t>
  </si>
  <si>
    <t>System behaves exactly as specified: Phone validation.</t>
  </si>
  <si>
    <t>TC-0301</t>
  </si>
  <si>
    <t>Emergency Contact - Relationship mandatory.</t>
  </si>
  <si>
    <t>1. Set up preconditions: User account exists and is authenticated where applicable.
2. Perform the action described: "Relationship mandatory."
3. Observe system behaviour.</t>
  </si>
  <si>
    <t>System behaves exactly as specified: Relationship mandatory.</t>
  </si>
  <si>
    <t>TC-0302</t>
  </si>
  <si>
    <t>Emergency Contact - Access denied for unauthorized role (Super Admin)</t>
  </si>
  <si>
    <t>1. Log in as Super Admin.
2. Attempt to access/perform: "Emergency Contact".</t>
  </si>
  <si>
    <t>TC-0303</t>
  </si>
  <si>
    <t>Emergency Contact - Access denied for unauthorized role (Recruiter)</t>
  </si>
  <si>
    <t>1. Log in as Recruiter.
2. Attempt to access/perform: "Emergency Contact".</t>
  </si>
  <si>
    <t>TC-0304</t>
  </si>
  <si>
    <t>Emergency Contact - Access denied for unauthorized role (Candidate)</t>
  </si>
  <si>
    <t>1. Log in as Candidate.
2. Attempt to access/perform: "Emergency Contact".</t>
  </si>
  <si>
    <t>TC-0305</t>
  </si>
  <si>
    <t>Education Information - Multiple records supported.</t>
  </si>
  <si>
    <t>1. Set up preconditions: User account exists and is authenticated where applicable.
2. Perform the action described: "Multiple records supported."
3. Observe system behaviour.</t>
  </si>
  <si>
    <t>System behaves exactly as specified: Multiple records supported.</t>
  </si>
  <si>
    <t>TC-0306</t>
  </si>
  <si>
    <t>Education Information - Transcript upload optional.</t>
  </si>
  <si>
    <t>1. Set up preconditions: User account exists and is authenticated where applicable.
2. Perform the action described: "Transcript upload optional."
3. Observe system behaviour.</t>
  </si>
  <si>
    <t>System behaves exactly as specified: Transcript upload optional.</t>
  </si>
  <si>
    <t>TC-0307</t>
  </si>
  <si>
    <t>Education Information - Edit/Delete available.</t>
  </si>
  <si>
    <t>1. Set up preconditions: User account exists and is authenticated where applicable.
2. Perform the action described: "Edit/Delete available."
3. Observe system behaviour.</t>
  </si>
  <si>
    <t>System behaves exactly as specified: Edit/Delete available.</t>
  </si>
  <si>
    <t>TC-0308</t>
  </si>
  <si>
    <t>Education Information - Access denied for unauthorized role (Super Admin)</t>
  </si>
  <si>
    <t>1. Log in as Super Admin.
2. Attempt to access/perform: "Education Information".</t>
  </si>
  <si>
    <t>TC-0309</t>
  </si>
  <si>
    <t>Education Information - Access denied for unauthorized role (Recruiter)</t>
  </si>
  <si>
    <t>1. Log in as Recruiter.
2. Attempt to access/perform: "Education Information".</t>
  </si>
  <si>
    <t>TC-0310</t>
  </si>
  <si>
    <t>Education Information - Access denied for unauthorized role (Candidate)</t>
  </si>
  <si>
    <t>1. Log in as Candidate.
2. Attempt to access/perform: "Education Information".</t>
  </si>
  <si>
    <t>TC-0311</t>
  </si>
  <si>
    <t>Employment History - Multiple companies supported.</t>
  </si>
  <si>
    <t>1. Set up preconditions: User account exists and is authenticated where applicable.
2. Perform the action described: "Multiple companies supported."
3. Observe system behaviour.</t>
  </si>
  <si>
    <t>System behaves exactly as specified: Multiple companies supported.</t>
  </si>
  <si>
    <t>TC-0312</t>
  </si>
  <si>
    <t>Employment History - Total experience calculated.</t>
  </si>
  <si>
    <t>1. Set up preconditions: User account exists and is authenticated where applicable.
2. Perform the action described: "Total experience calculated."
3. Observe system behaviour.</t>
  </si>
  <si>
    <t>System behaves exactly as specified: Total experience calculated.</t>
  </si>
  <si>
    <t>TC-0313</t>
  </si>
  <si>
    <t>Employment History - Employment gap identified.</t>
  </si>
  <si>
    <t>1. Set up preconditions: User account exists and is authenticated where applicable.
2. Perform the action described: "Employment gap identified."
3. Observe system behaviour.</t>
  </si>
  <si>
    <t>System behaves exactly as specified: Employment gap identified.</t>
  </si>
  <si>
    <t>TC-0314</t>
  </si>
  <si>
    <t>Employment History - Access denied for unauthorized role (Super Admin)</t>
  </si>
  <si>
    <t>1. Log in as Super Admin.
2. Attempt to access/perform: "Employment History".</t>
  </si>
  <si>
    <t>TC-0315</t>
  </si>
  <si>
    <t>Employment History - Access denied for unauthorized role (Recruiter)</t>
  </si>
  <si>
    <t>1. Log in as Recruiter.
2. Attempt to access/perform: "Employment History".</t>
  </si>
  <si>
    <t>TC-0316</t>
  </si>
  <si>
    <t>Employment History - Access denied for unauthorized role (Candidate)</t>
  </si>
  <si>
    <t>1. Log in as Candidate.
2. Attempt to access/perform: "Employment History".</t>
  </si>
  <si>
    <t>TC-0317</t>
  </si>
  <si>
    <t>Skills &amp; Certifications - Searchable skills.</t>
  </si>
  <si>
    <t>1. Set up preconditions: User account exists and is authenticated where applicable.
2. Perform the action described: "Searchable skills."
3. Observe system behaviour.</t>
  </si>
  <si>
    <t>System behaves exactly as specified: Searchable skills.</t>
  </si>
  <si>
    <t>TC-0318</t>
  </si>
  <si>
    <t>Skills &amp; Certifications - Multiple certificates.</t>
  </si>
  <si>
    <t>1. Set up preconditions: User account exists and is authenticated where applicable.
2. Perform the action described: "Multiple certificates."
3. Observe system behaviour.</t>
  </si>
  <si>
    <t>System behaves exactly as specified: Multiple certificates.</t>
  </si>
  <si>
    <t>TC-0319</t>
  </si>
  <si>
    <t>Skills &amp; Certifications - Expiry reminders.</t>
  </si>
  <si>
    <t>1. Set up preconditions: User account exists and is authenticated where applicable.
2. Perform the action described: "Expiry reminders."
3. Observe system behaviour.</t>
  </si>
  <si>
    <t>System behaves exactly as specified: Expiry reminders.</t>
  </si>
  <si>
    <t>TC-0320</t>
  </si>
  <si>
    <t>Skills &amp; Certifications - Access denied for unauthorized role (Super Admin)</t>
  </si>
  <si>
    <t>1. Log in as Super Admin.
2. Attempt to access/perform: "Skills &amp; Certifications".</t>
  </si>
  <si>
    <t>TC-0321</t>
  </si>
  <si>
    <t>Skills &amp; Certifications - Access denied for unauthorized role (Recruiter)</t>
  </si>
  <si>
    <t>1. Log in as Recruiter.
2. Attempt to access/perform: "Skills &amp; Certifications".</t>
  </si>
  <si>
    <t>TC-0322</t>
  </si>
  <si>
    <t>Skills &amp; Certifications - Access denied for unauthorized role (Candidate)</t>
  </si>
  <si>
    <t>1. Log in as Candidate.
2. Attempt to access/perform: "Skills &amp; Certifications".</t>
  </si>
  <si>
    <t>TC-0323</t>
  </si>
  <si>
    <t>Bank Information - IBAN validated.</t>
  </si>
  <si>
    <t>1. Set up preconditions: User account exists and is authenticated where applicable.
2. Perform the action described: "IBAN validated."
3. Observe system behaviour.</t>
  </si>
  <si>
    <t>System behaves exactly as specified: IBAN validated.</t>
  </si>
  <si>
    <t>TC-0324</t>
  </si>
  <si>
    <t>Bank Information - Duplicate account prevented.</t>
  </si>
  <si>
    <t>1. Set up preconditions: User account exists and is authenticated where applicable.
2. Perform the action described: "Duplicate account prevented."
3. Observe system behaviour.</t>
  </si>
  <si>
    <t>System behaves exactly as specified: Duplicate account prevented.</t>
  </si>
  <si>
    <t>TC-0325</t>
  </si>
  <si>
    <t>Bank Information - Encryption applied.</t>
  </si>
  <si>
    <t>1. Set up preconditions: User account exists and is authenticated where applicable.
2. Perform the action described: "Encryption applied."
3. Observe system behaviour.</t>
  </si>
  <si>
    <t>System behaves exactly as specified: Encryption applied.</t>
  </si>
  <si>
    <t>TC-0326</t>
  </si>
  <si>
    <t>Bank Information - Access denied for unauthorized role (Super Admin)</t>
  </si>
  <si>
    <t>1. Log in as Super Admin.
2. Attempt to access/perform: "Bank Information".</t>
  </si>
  <si>
    <t>TC-0327</t>
  </si>
  <si>
    <t>Bank Information - Access denied for unauthorized role (Recruiter)</t>
  </si>
  <si>
    <t>1. Log in as Recruiter.
2. Attempt to access/perform: "Bank Information".</t>
  </si>
  <si>
    <t>TC-0328</t>
  </si>
  <si>
    <t>Bank Information - Access denied for unauthorized role (Candidate)</t>
  </si>
  <si>
    <t>1. Log in as Candidate.
2. Attempt to access/perform: "Bank Information".</t>
  </si>
  <si>
    <t>TC-0329</t>
  </si>
  <si>
    <t>Employment Information - Department mandatory.</t>
  </si>
  <si>
    <t>1. Set up preconditions: User account exists and is authenticated where applicable.
2. Perform the action described: "Department mandatory."
3. Observe system behaviour.</t>
  </si>
  <si>
    <t>System behaves exactly as specified: Department mandatory.</t>
  </si>
  <si>
    <t>TC-0330</t>
  </si>
  <si>
    <t>Employment Information - Joining date required.</t>
  </si>
  <si>
    <t>1. Set up preconditions: User account exists and is authenticated where applicable.
2. Perform the action described: "Joining date required."
3. Observe system behaviour.</t>
  </si>
  <si>
    <t>System behaves exactly as specified: Joining date required.</t>
  </si>
  <si>
    <t>TC-0331</t>
  </si>
  <si>
    <t>Employment Information - Reporting manager selected.</t>
  </si>
  <si>
    <t>1. Set up preconditions: User account exists and is authenticated where applicable.
2. Perform the action described: "Reporting manager selected."
3. Observe system behaviour.</t>
  </si>
  <si>
    <t>System behaves exactly as specified: Reporting manager selected.</t>
  </si>
  <si>
    <t>TC-0332</t>
  </si>
  <si>
    <t>Employment Information - Status defaults to Active.</t>
  </si>
  <si>
    <t>1. Set up preconditions: User account exists and is authenticated where applicable.
2. Perform the action described: "Status defaults to Active."
3. Observe system behaviour.</t>
  </si>
  <si>
    <t>System behaves exactly as specified: Status defaults to Active.</t>
  </si>
  <si>
    <t>TC-0333</t>
  </si>
  <si>
    <t>Employment Information - Access denied for unauthorized role (Super Admin)</t>
  </si>
  <si>
    <t>1. Log in as Super Admin.
2. Attempt to access/perform: "Employment Information".</t>
  </si>
  <si>
    <t>TC-0334</t>
  </si>
  <si>
    <t>Employment Information - Access denied for unauthorized role (Recruiter)</t>
  </si>
  <si>
    <t>1. Log in as Recruiter.
2. Attempt to access/perform: "Employment Information".</t>
  </si>
  <si>
    <t>TC-0335</t>
  </si>
  <si>
    <t>Employment Information - Access denied for unauthorized role (Candidate)</t>
  </si>
  <si>
    <t>1. Log in as Candidate.
2. Attempt to access/perform: "Employment Information".</t>
  </si>
  <si>
    <t>TC-0336</t>
  </si>
  <si>
    <t>Profile Completion Indicator - Percentage updates automatically.</t>
  </si>
  <si>
    <t>TC-0337</t>
  </si>
  <si>
    <t>Profile Completion Indicator - Missing fields highlighted.</t>
  </si>
  <si>
    <t>1. Set up preconditions: User account exists and is authenticated where applicable.
2. Perform the action described: "Missing fields highlighted."
3. Observe system behaviour.</t>
  </si>
  <si>
    <t>System behaves exactly as specified: Missing fields highlighted.</t>
  </si>
  <si>
    <t>TC-0338</t>
  </si>
  <si>
    <t>Profile Completion Indicator - Progress displayed.</t>
  </si>
  <si>
    <t>1. Set up preconditions: User account exists and is authenticated where applicable.
2. Perform the action described: "Progress displayed."
3. Observe system behaviour.</t>
  </si>
  <si>
    <t>System behaves exactly as specified: Progress displayed.</t>
  </si>
  <si>
    <t>TC-0339</t>
  </si>
  <si>
    <t>Profile Completion Indicator - Access denied for unauthorized role (Super Admin)</t>
  </si>
  <si>
    <t>1. Log in as Super Admin.
2. Attempt to access/perform: "Profile Completion Indicator".</t>
  </si>
  <si>
    <t>TC-0340</t>
  </si>
  <si>
    <t>Profile Completion Indicator - Access denied for unauthorized role (Recruiter)</t>
  </si>
  <si>
    <t>1. Log in as Recruiter.
2. Attempt to access/perform: "Profile Completion Indicator".</t>
  </si>
  <si>
    <t>TC-0341</t>
  </si>
  <si>
    <t>Profile Completion Indicator - Access denied for unauthorized role (Candidate)</t>
  </si>
  <si>
    <t>1. Log in as Candidate.
2. Attempt to access/perform: "Profile Completion Indicator".</t>
  </si>
  <si>
    <t>TC-0342</t>
  </si>
  <si>
    <t>Employee Timeline - Chronological order.</t>
  </si>
  <si>
    <t>1. Set up preconditions: User account exists and is authenticated where applicable.
2. Perform the action described: "Chronological order."
3. Observe system behaviour.</t>
  </si>
  <si>
    <t>System behaves exactly as specified: Chronological order.</t>
  </si>
  <si>
    <t>TC-0343</t>
  </si>
  <si>
    <t>Employee Timeline - Timestamp shown.</t>
  </si>
  <si>
    <t>1. Set up preconditions: User account exists and is authenticated where applicable.
2. Perform the action described: "Timestamp shown."
3. Observe system behaviour.</t>
  </si>
  <si>
    <t>System behaves exactly as specified: Timestamp shown.</t>
  </si>
  <si>
    <t>TC-0344</t>
  </si>
  <si>
    <t>Employee Timeline - User responsible displayed.</t>
  </si>
  <si>
    <t>TC-0345</t>
  </si>
  <si>
    <t>Employee Timeline - Access denied for unauthorized role (Super Admin)</t>
  </si>
  <si>
    <t>1. Log in as Super Admin.
2. Attempt to access/perform: "Employee Timeline".</t>
  </si>
  <si>
    <t>TC-0346</t>
  </si>
  <si>
    <t>Employee Timeline - Access denied for unauthorized role (Recruiter)</t>
  </si>
  <si>
    <t>1. Log in as Recruiter.
2. Attempt to access/perform: "Employee Timeline".</t>
  </si>
  <si>
    <t>TC-0347</t>
  </si>
  <si>
    <t>Employee Timeline - Access denied for unauthorized role (Candidate)</t>
  </si>
  <si>
    <t>1. Log in as Candidate.
2. Attempt to access/perform: "Employee Timeline".</t>
  </si>
  <si>
    <t>TC-0348</t>
  </si>
  <si>
    <t>Employee Directory - Search response \&lt;2 seconds.</t>
  </si>
  <si>
    <t>1. Set up preconditions: User account exists and is authenticated where applicable.
2. Perform the action described: "Search response \&lt;2 seconds."
3. Observe system behaviour.</t>
  </si>
  <si>
    <t>System behaves exactly as specified: Search response \&lt;2 seconds.</t>
  </si>
  <si>
    <t>TC-0349</t>
  </si>
  <si>
    <t>Employee Directory - Pagination supported.</t>
  </si>
  <si>
    <t>TC-0350</t>
  </si>
  <si>
    <t>Employee Directory - Filters work independently and together.</t>
  </si>
  <si>
    <t>1. Set up preconditions: User account exists and is authenticated where applicable.
2. Perform the action described: "Filters work independently and together."
3. Observe system behaviour.</t>
  </si>
  <si>
    <t>System behaves exactly as specified: Filters work independently and together.</t>
  </si>
  <si>
    <t>TC-0351</t>
  </si>
  <si>
    <t>Employee Directory - Export generates correct data.</t>
  </si>
  <si>
    <t>1. Set up preconditions: User account exists and is authenticated where applicable.
2. Perform the action described: "Export generates correct data."
3. Observe system behaviour.</t>
  </si>
  <si>
    <t>System behaves exactly as specified: Export generates correct data.</t>
  </si>
  <si>
    <t>TC-0352</t>
  </si>
  <si>
    <t>Employee Directory - Clicking an employee opens the full profile.</t>
  </si>
  <si>
    <t>1. Set up preconditions: User account exists and is authenticated where applicable.
2. Perform the action described: "Clicking an employee opens the full profile."
3. Observe system behaviour.</t>
  </si>
  <si>
    <t>System behaves exactly as specified: Clicking an employee opens the full profile.</t>
  </si>
  <si>
    <t>TC-0353</t>
  </si>
  <si>
    <t>Employee Directory - API 'GET /api/employees' returns success for valid authorized request</t>
  </si>
  <si>
    <t>1. Obtain a valid authentication token for role 'User'.
2. Send request: GET /api/employees with valid payload/parameters.
3. Inspect the response.</t>
  </si>
  <si>
    <t>TC-0354</t>
  </si>
  <si>
    <t>Employee Directory - API 'GET /api/employees' rejects unauthorized/unauthenticated request</t>
  </si>
  <si>
    <t>1. Send request: GET /api/employees without a valid authentication token.
2. Inspect the response.</t>
  </si>
  <si>
    <t>TC-0355</t>
  </si>
  <si>
    <t>Employee Directory - API 'GET /api/employees' handles invalid/malformed payload</t>
  </si>
  <si>
    <t>1. Obtain a valid authentication token for role 'User'.
2. Send request: GET /api/employees with missing required fields or malformed JSON.
3. Inspect the response.</t>
  </si>
  <si>
    <t>TC-0356</t>
  </si>
  <si>
    <t>Employee Directory - API 'GET /api/employees' handles non-existent resource gracefully</t>
  </si>
  <si>
    <t>1. Obtain a valid authentication token for role 'User'.
2. Send request: GET /api/employees referencing an ID that does not exist.
3. Inspect the response.</t>
  </si>
  <si>
    <t>TC-0357</t>
  </si>
  <si>
    <t>Employee Directory - API 'GET /api/employees/{id}' returns success for valid authorized request</t>
  </si>
  <si>
    <t>1. Obtain a valid authentication token for role 'User'.
2. Send request: GET /api/employees/{id} with valid payload/parameters.
3. Inspect the response.</t>
  </si>
  <si>
    <t>TC-0358</t>
  </si>
  <si>
    <t>Employee Directory - API 'GET /api/employees/{id}' rejects unauthorized/unauthenticated request</t>
  </si>
  <si>
    <t>1. Send request: GET /api/employees/{id} without a valid authentication token.
2. Inspect the response.</t>
  </si>
  <si>
    <t>TC-0359</t>
  </si>
  <si>
    <t>Employee Directory - API 'GET /api/employees/{id}' handles invalid/malformed payload</t>
  </si>
  <si>
    <t>1. Obtain a valid authentication token for role 'User'.
2. Send request: GET /api/employees/{id} with missing required fields or malformed JSON.
3. Inspect the response.</t>
  </si>
  <si>
    <t>TC-0360</t>
  </si>
  <si>
    <t>Employee Directory - API 'GET /api/employees/{id}' handles non-existent resource gracefully</t>
  </si>
  <si>
    <t>1. Obtain a valid authentication token for role 'User'.
2. Send request: GET /api/employees/{id} referencing an ID that does not exist.
3. Inspect the response.</t>
  </si>
  <si>
    <t>TC-0361</t>
  </si>
  <si>
    <t>Employee Directory - API 'PUT /api/employees/{id}' returns success for valid authorized request</t>
  </si>
  <si>
    <t>1. Obtain a valid authentication token for role 'User'.
2. Send request: PUT /api/employees/{id} with valid payload/parameters.
3. Inspect the response.</t>
  </si>
  <si>
    <t>TC-0362</t>
  </si>
  <si>
    <t>Employee Directory - API 'PUT /api/employees/{id}' rejects unauthorized/unauthenticated request</t>
  </si>
  <si>
    <t>1. Send request: PUT /api/employees/{id} without a valid authentication token.
2. Inspect the response.</t>
  </si>
  <si>
    <t>TC-0363</t>
  </si>
  <si>
    <t>Employee Directory - API 'PUT /api/employees/{id}' handles invalid/malformed payload</t>
  </si>
  <si>
    <t>1. Obtain a valid authentication token for role 'User'.
2. Send request: PUT /api/employees/{id} with missing required fields or malformed JSON.
3. Inspect the response.</t>
  </si>
  <si>
    <t>TC-0364</t>
  </si>
  <si>
    <t>Employee Directory - API 'PUT /api/employees/{id}' handles non-existent resource gracefully</t>
  </si>
  <si>
    <t>1. Obtain a valid authentication token for role 'User'.
2. Send request: PUT /api/employees/{id} referencing an ID that does not exist.
3. Inspect the response.</t>
  </si>
  <si>
    <t>TC-0365</t>
  </si>
  <si>
    <t>Employee Directory - API 'GET /api/employees/export' returns success for valid authorized request</t>
  </si>
  <si>
    <t>1. Obtain a valid authentication token for role 'User'.
2. Send request: GET /api/employees/export with valid payload/parameters.
3. Inspect the response.</t>
  </si>
  <si>
    <t>TC-0366</t>
  </si>
  <si>
    <t>Employee Directory - API 'GET /api/employees/export' rejects unauthorized/unauthenticated request</t>
  </si>
  <si>
    <t>1. Send request: GET /api/employees/export without a valid authentication token.
2. Inspect the response.</t>
  </si>
  <si>
    <t>TC-0367</t>
  </si>
  <si>
    <t>Employee Directory - API 'GET /api/employees/export' handles invalid/malformed payload</t>
  </si>
  <si>
    <t>1. Obtain a valid authentication token for role 'User'.
2. Send request: GET /api/employees/export with missing required fields or malformed JSON.
3. Inspect the response.</t>
  </si>
  <si>
    <t>TC-0368</t>
  </si>
  <si>
    <t>Employee Directory - API 'GET /api/employees/export' handles non-existent resource gracefully</t>
  </si>
  <si>
    <t>1. Obtain a valid authentication token for role 'User'.
2. Send request: GET /api/employees/export referencing an ID that does not exist.
3. Inspect the response.</t>
  </si>
  <si>
    <t>TC-0369</t>
  </si>
  <si>
    <t>Employee Directory - Access denied for unauthorized role (Super Admin)</t>
  </si>
  <si>
    <t>1. Log in as Super Admin.
2. Attempt to access/perform: "Employee Directory".</t>
  </si>
  <si>
    <t>TC-0370</t>
  </si>
  <si>
    <t>Employee Directory - Access denied for unauthorized role (Recruiter)</t>
  </si>
  <si>
    <t>1. Log in as Recruiter.
2. Attempt to access/perform: "Employee Directory".</t>
  </si>
  <si>
    <t>TC-0371</t>
  </si>
  <si>
    <t>Employee Directory - Access denied for unauthorized role (Candidate)</t>
  </si>
  <si>
    <t>1. Log in as Candidate.
2. Attempt to access/perform: "Employee Directory".</t>
  </si>
  <si>
    <t>TC-0372</t>
  </si>
  <si>
    <t>Employee Directory - Displays correctly when no data is available</t>
  </si>
  <si>
    <t>TC-0373</t>
  </si>
  <si>
    <t>Employee Directory - Handles large dataset with pagination correctly</t>
  </si>
  <si>
    <t>TC-0374</t>
  </si>
  <si>
    <t>Upload Government Identification - Verify complete end-to-end flow with valid data</t>
  </si>
  <si>
    <t>Candidate account active. Candidate logged in.</t>
  </si>
  <si>
    <t>1. Open Documents page.
2. Select CNIC/Passport.
3. Upload file.
4. Validate file type and size.
5. Upload to Supabase Storage.
6. Trigger OCR processing.
7. Update document status.</t>
  </si>
  <si>
    <t>TC-0375</t>
  </si>
  <si>
    <t>Upload Government Identification - Supported file formats accepted.</t>
  </si>
  <si>
    <t>1. Set up preconditions: Candidate account active. Candidate logged in.
2. Perform the action described: "Supported file formats accepted."
3. Observe system behaviour.</t>
  </si>
  <si>
    <t>System behaves exactly as specified: Supported file formats accepted.</t>
  </si>
  <si>
    <t>TC-0376</t>
  </si>
  <si>
    <t>Upload Government Identification - Maximum file size validated.</t>
  </si>
  <si>
    <t>1. Set up preconditions: Candidate account active. Candidate logged in.
2. Perform the action described: "Maximum file size validated."
3. Observe system behaviour.</t>
  </si>
  <si>
    <t>System behaves exactly as specified: Maximum file size validated.</t>
  </si>
  <si>
    <t>TC-0377</t>
  </si>
  <si>
    <t>Upload Government Identification - Upload completes successfully.</t>
  </si>
  <si>
    <t>1. Set up preconditions: Candidate account active. Candidate logged in.
2. Perform the action described: "Upload completes successfully."
3. Observe system behaviour.</t>
  </si>
  <si>
    <t>System behaves exactly as specified: Upload completes successfully.</t>
  </si>
  <si>
    <t>TC-0378</t>
  </si>
  <si>
    <t>Upload Government Identification - OCR starts automatically.</t>
  </si>
  <si>
    <t>1. Set up preconditions: Candidate account active. Candidate logged in.
2. Perform the action described: "OCR starts automatically."
3. Observe system behaviour.</t>
  </si>
  <si>
    <t>System behaves exactly as specified: OCR starts automatically.</t>
  </si>
  <si>
    <t>TC-0379</t>
  </si>
  <si>
    <t>Upload Government Identification - Document status updated.</t>
  </si>
  <si>
    <t>1. Set up preconditions: Candidate account active. Candidate logged in.
2. Perform the action described: "Document status updated."
3. Observe system behaviour.</t>
  </si>
  <si>
    <t>System behaves exactly as specified: Document status updated.</t>
  </si>
  <si>
    <t>TC-0380</t>
  </si>
  <si>
    <t>Upload Government Identification - Boundary check: Maximum file size: 10 MB. (value = 10 MB)</t>
  </si>
  <si>
    <t>1. Candidate account active. Candidate logged in.
2. Attempt the action with the value exactly at the limit (10 MB).
3. Attempt the action with the value one unit below the limit.
4. Attempt the action with the value one unit above the limit.</t>
  </si>
  <si>
    <t>System enforces the rule 'Maximum file size: 10 MB.' correctly at, below, and above the boundary value.</t>
  </si>
  <si>
    <t>TC-0381</t>
  </si>
  <si>
    <t>Upload Government Identification - Business rule enforcement: One active document per category.</t>
  </si>
  <si>
    <t>1. Candidate account active. Candidate logged in.
2. Perform an action that would violate the rule: "One active document per category."
3. Submit / confirm the action.</t>
  </si>
  <si>
    <t>System enforces business rule and prevents violation: One active document per category.</t>
  </si>
  <si>
    <t>TC-0382</t>
  </si>
  <si>
    <t>Upload Government Identification - Business rule enforcement: Secure cloud storage mandatory.</t>
  </si>
  <si>
    <t>1. Candidate account active. Candidate logged in.
2. Perform an action that would violate the rule: "Secure cloud storage mandatory."
3. Submit / confirm the action.</t>
  </si>
  <si>
    <t>System enforces business rule and prevents violation: Secure cloud storage mandatory.</t>
  </si>
  <si>
    <t>TC-0383</t>
  </si>
  <si>
    <t>Upload Government Identification - Field validation for 'Drag &amp; Drop Area' left empty</t>
  </si>
  <si>
    <t>1. Candidate account active. Candidate logged in.
2. Leave the 'Drag &amp; Drop Area' field empty.
3. Attempt to submit the form.</t>
  </si>
  <si>
    <t>System displays a mandatory field error for 'Drag &amp; Drop Area' and blocks submission if the field is required.</t>
  </si>
  <si>
    <t>TC-0384</t>
  </si>
  <si>
    <t>Upload Government Identification - Field validation for 'Progress Bar' left empty</t>
  </si>
  <si>
    <t>1. Candidate account active. Candidate logged in.
2. Leave the 'Progress Bar' field empty.
3. Attempt to submit the form.</t>
  </si>
  <si>
    <t>System displays a mandatory field error for 'Progress Bar' and blocks submission if the field is required.</t>
  </si>
  <si>
    <t>TC-0385</t>
  </si>
  <si>
    <t>Upload Government Identification - Field validation for 'Preview' left empty</t>
  </si>
  <si>
    <t>1. Candidate account active. Candidate logged in.
2. Leave the 'Preview' field empty.
3. Attempt to submit the form.</t>
  </si>
  <si>
    <t>System displays a mandatory field error for 'Preview' and blocks submission if the field is required.</t>
  </si>
  <si>
    <t>TC-0386</t>
  </si>
  <si>
    <t>Upload Government Identification - API 'POST /api/documents/upload' returns success for valid authorized request</t>
  </si>
  <si>
    <t>1. Obtain a valid authentication token for role 'Candidate'.
2. Send request: POST /api/documents/upload with valid payload/parameters.
3. Inspect the response.</t>
  </si>
  <si>
    <t>TC-0387</t>
  </si>
  <si>
    <t>Upload Government Identification - API 'POST /api/documents/upload' rejects unauthorized/unauthenticated request</t>
  </si>
  <si>
    <t>1. Send request: POST /api/documents/upload without a valid authentication token.
2. Inspect the response.</t>
  </si>
  <si>
    <t>TC-0388</t>
  </si>
  <si>
    <t>Upload Government Identification - API 'POST /api/documents/upload' handles invalid/malformed payload</t>
  </si>
  <si>
    <t>1. Obtain a valid authentication token for role 'Candidate'.
2. Send request: POST /api/documents/upload with missing required fields or malformed JSON.
3. Inspect the response.</t>
  </si>
  <si>
    <t>TC-0389</t>
  </si>
  <si>
    <t>Upload Government Identification - API 'POST /api/documents/upload' handles non-existent resource gracefully</t>
  </si>
  <si>
    <t>1. Obtain a valid authentication token for role 'Candidate'.
2. Send request: POST /api/documents/upload referencing an ID that does not exist.
3. Inspect the response.</t>
  </si>
  <si>
    <t>TC-0390</t>
  </si>
  <si>
    <t>Upload Government Identification - Access denied for unauthorized role (Super Admin)</t>
  </si>
  <si>
    <t>1. Log in as Super Admin.
2. Attempt to access/perform: "Upload Government Identification".</t>
  </si>
  <si>
    <t>TC-0391</t>
  </si>
  <si>
    <t>Upload Government Identification - Access denied for unauthorized role (Recruiter)</t>
  </si>
  <si>
    <t>1. Log in as Recruiter.
2. Attempt to access/perform: "Upload Government Identification".</t>
  </si>
  <si>
    <t>TC-0392</t>
  </si>
  <si>
    <t>Upload Government Identification - Prevents duplicate submission on repeated/rapid clicks</t>
  </si>
  <si>
    <t>1. Candidate account active. Candidate logged in.
2. Fill valid data and click Submit/Save multiple times in quick succession or use double-click.
3. Observe the result.</t>
  </si>
  <si>
    <t>TC-0393</t>
  </si>
  <si>
    <t>Upload Educational Documents - Multiple uploads supported.</t>
  </si>
  <si>
    <t>1. Set up preconditions: Candidate account exists and is authenticated where applicable.
2. Perform the action described: "Multiple uploads supported."
3. Observe system behaviour.</t>
  </si>
  <si>
    <t>System behaves exactly as specified: Multiple uploads supported.</t>
  </si>
  <si>
    <t>TC-0394</t>
  </si>
  <si>
    <t>Upload Educational Documents - File validation performed.</t>
  </si>
  <si>
    <t>1. Set up preconditions: Candidate account exists and is authenticated where applicable.
2. Perform the action described: "File validation performed."
3. Observe system behaviour.</t>
  </si>
  <si>
    <t>System behaves exactly as specified: File validation performed.</t>
  </si>
  <si>
    <t>TC-0395</t>
  </si>
  <si>
    <t>Upload Educational Documents - Documents categorized.</t>
  </si>
  <si>
    <t>1. Set up preconditions: Candidate account exists and is authenticated where applicable.
2. Perform the action described: "Documents categorized."
3. Observe system behaviour.</t>
  </si>
  <si>
    <t>System behaves exactly as specified: Documents categorized.</t>
  </si>
  <si>
    <t>TC-0396</t>
  </si>
  <si>
    <t>Upload Educational Documents - Upload history maintained.</t>
  </si>
  <si>
    <t>1. Set up preconditions: Candidate account exists and is authenticated where applicable.
2. Perform the action described: "Upload history maintained."
3. Observe system behaviour.</t>
  </si>
  <si>
    <t>System behaves exactly as specified: Upload history maintained.</t>
  </si>
  <si>
    <t>TC-0397</t>
  </si>
  <si>
    <t>Upload Educational Documents - Access denied for unauthorized role (Super Admin)</t>
  </si>
  <si>
    <t>1. Log in as Super Admin.
2. Attempt to access/perform: "Upload Educational Documents".</t>
  </si>
  <si>
    <t>TC-0398</t>
  </si>
  <si>
    <t>Upload Educational Documents - Access denied for unauthorized role (Recruiter)</t>
  </si>
  <si>
    <t>1. Log in as Recruiter.
2. Attempt to access/perform: "Upload Educational Documents".</t>
  </si>
  <si>
    <t>TC-0399</t>
  </si>
  <si>
    <t>Upload Educational Documents - Prevents duplicate submission on repeated/rapid clicks</t>
  </si>
  <si>
    <t>1. Candidate account exists and is authenticated where applicable.
2. Fill valid data and click Submit/Save multiple times in quick succession or use double-click.
3. Observe the result.</t>
  </si>
  <si>
    <t>TC-0400</t>
  </si>
  <si>
    <t>Upload Employment Documents - Documents linked to profile.</t>
  </si>
  <si>
    <t>1. Set up preconditions: User account exists and is authenticated where applicable.
2. Perform the action described: "Documents linked to profile."
3. Observe system behaviour.</t>
  </si>
  <si>
    <t>System behaves exactly as specified: Documents linked to profile.</t>
  </si>
  <si>
    <t>TC-0401</t>
  </si>
  <si>
    <t>Upload Employment Documents - Preview available.</t>
  </si>
  <si>
    <t>1. Set up preconditions: User account exists and is authenticated where applicable.
2. Perform the action described: "Preview available."
3. Observe system behaviour.</t>
  </si>
  <si>
    <t>System behaves exactly as specified: Preview available.</t>
  </si>
  <si>
    <t>TC-0402</t>
  </si>
  <si>
    <t>Upload Employment Documents - Download supported.</t>
  </si>
  <si>
    <t>1. Set up preconditions: User account exists and is authenticated where applicable.
2. Perform the action described: "Download supported."
3. Observe system behaviour.</t>
  </si>
  <si>
    <t>System behaves exactly as specified: Download supported.</t>
  </si>
  <si>
    <t>TC-0403</t>
  </si>
  <si>
    <t>Upload Employment Documents - Access denied for unauthorized role (Super Admin)</t>
  </si>
  <si>
    <t>1. Log in as Super Admin.
2. Attempt to access/perform: "Upload Employment Documents".</t>
  </si>
  <si>
    <t>TC-0404</t>
  </si>
  <si>
    <t>Upload Employment Documents - Access denied for unauthorized role (Recruiter)</t>
  </si>
  <si>
    <t>1. Log in as Recruiter.
2. Attempt to access/perform: "Upload Employment Documents".</t>
  </si>
  <si>
    <t>TC-0405</t>
  </si>
  <si>
    <t>Upload Employment Documents - Access denied for unauthorized role (Candidate)</t>
  </si>
  <si>
    <t>1. Log in as Candidate.
2. Attempt to access/perform: "Upload Employment Documents".</t>
  </si>
  <si>
    <t>TC-0406</t>
  </si>
  <si>
    <t>Upload Employment Documents - Prevents duplicate submission on repeated/rapid clicks</t>
  </si>
  <si>
    <t>TC-0407</t>
  </si>
  <si>
    <t>Document Categories - Categories displayed.</t>
  </si>
  <si>
    <t>1. Set up preconditions: User account exists and is authenticated where applicable.
2. Perform the action described: "Categories displayed."
3. Observe system behaviour.</t>
  </si>
  <si>
    <t>System behaves exactly as specified: Categories displayed.</t>
  </si>
  <si>
    <t>TC-0408</t>
  </si>
  <si>
    <t>Document Categories - Filtering available.</t>
  </si>
  <si>
    <t>1. Set up preconditions: User account exists and is authenticated where applicable.
2. Perform the action described: "Filtering available."
3. Observe system behaviour.</t>
  </si>
  <si>
    <t>System behaves exactly as specified: Filtering available.</t>
  </si>
  <si>
    <t>TC-0409</t>
  </si>
  <si>
    <t>Document Categories - Category mandatory during upload.</t>
  </si>
  <si>
    <t>1. Set up preconditions: User account exists and is authenticated where applicable.
2. Perform the action described: "Category mandatory during upload."
3. Observe system behaviour.</t>
  </si>
  <si>
    <t>System behaves exactly as specified: Category mandatory during upload.</t>
  </si>
  <si>
    <t>TC-0410</t>
  </si>
  <si>
    <t>Document Categories - Access denied for unauthorized role (Super Admin)</t>
  </si>
  <si>
    <t>1. Log in as Super Admin.
2. Attempt to access/perform: "Document Categories".</t>
  </si>
  <si>
    <t>TC-0411</t>
  </si>
  <si>
    <t>Document Categories - Access denied for unauthorized role (Recruiter)</t>
  </si>
  <si>
    <t>1. Log in as Recruiter.
2. Attempt to access/perform: "Document Categories".</t>
  </si>
  <si>
    <t>TC-0412</t>
  </si>
  <si>
    <t>Document Categories - Access denied for unauthorized role (Candidate)</t>
  </si>
  <si>
    <t>1. Log in as Candidate.
2. Attempt to access/perform: "Document Categories".</t>
  </si>
  <si>
    <t>TC-0413</t>
  </si>
  <si>
    <t>File Validation - Invalid files rejected.</t>
  </si>
  <si>
    <t>1. Set up preconditions: User account exists and is authenticated where applicable.
2. Perform the action described: "Invalid files rejected."
3. Observe system behaviour.</t>
  </si>
  <si>
    <t>System behaves exactly as specified: Invalid files rejected.</t>
  </si>
  <si>
    <t>TC-0414</t>
  </si>
  <si>
    <t>File Validation - Malware scan initiated (future integration).</t>
  </si>
  <si>
    <t>1. Set up preconditions: User account exists and is authenticated where applicable.
2. Perform the action described: "Malware scan initiated (future integration)."
3. Observe system behaviour.</t>
  </si>
  <si>
    <t>System behaves exactly as specified: Malware scan initiated (future integration).</t>
  </si>
  <si>
    <t>TC-0415</t>
  </si>
  <si>
    <t>File Validation - Appropriate error message displayed.</t>
  </si>
  <si>
    <t>1. Set up preconditions: User account exists and is authenticated where applicable.
2. Perform the action described: "Appropriate error message displayed."
3. Observe system behaviour.</t>
  </si>
  <si>
    <t>System behaves exactly as specified: Appropriate error message displayed.</t>
  </si>
  <si>
    <t>TC-0416</t>
  </si>
  <si>
    <t>File Validation - Business rule enforcement: PDF, JPG, JPEG, PNG only.</t>
  </si>
  <si>
    <t>1. User account exists and is authenticated where applicable.
2. Perform an action that would violate the rule: "PDF, JPG, JPEG, PNG only."
3. Submit / confirm the action.</t>
  </si>
  <si>
    <t>System enforces business rule and prevents violation: PDF, JPG, JPEG, PNG only.</t>
  </si>
  <si>
    <t>TC-0417</t>
  </si>
  <si>
    <t>File Validation - Boundary check: Maximum 10 MB. (value = 10 MB)</t>
  </si>
  <si>
    <t>1. User account exists and is authenticated where applicable.
2. Attempt the action with the value exactly at the limit (10 MB).
3. Attempt the action with the value one unit below the limit.
4. Attempt the action with the value one unit above the limit.</t>
  </si>
  <si>
    <t>System enforces the rule 'Maximum 10 MB.' correctly at, below, and above the boundary value.</t>
  </si>
  <si>
    <t>TC-0418</t>
  </si>
  <si>
    <t>File Validation - Business rule enforcement: Executable files prohibited.</t>
  </si>
  <si>
    <t>1. User account exists and is authenticated where applicable.
2. Perform an action that would violate the rule: "Executable files prohibited."
3. Submit / confirm the action.</t>
  </si>
  <si>
    <t>System enforces business rule and prevents violation: Executable files prohibited.</t>
  </si>
  <si>
    <t>TC-0419</t>
  </si>
  <si>
    <t>File Validation - Access denied for unauthorized role (Super Admin)</t>
  </si>
  <si>
    <t>1. Log in as Super Admin.
2. Attempt to access/perform: "File Validation".</t>
  </si>
  <si>
    <t>TC-0420</t>
  </si>
  <si>
    <t>File Validation - Access denied for unauthorized role (Recruiter)</t>
  </si>
  <si>
    <t>1. Log in as Recruiter.
2. Attempt to access/perform: "File Validation".</t>
  </si>
  <si>
    <t>TC-0421</t>
  </si>
  <si>
    <t>File Validation - Access denied for unauthorized role (Candidate)</t>
  </si>
  <si>
    <t>1. Log in as Candidate.
2. Attempt to access/perform: "File Validation".</t>
  </si>
  <si>
    <t>TC-0422</t>
  </si>
  <si>
    <t>OCR Processing - OCR triggered automatically.</t>
  </si>
  <si>
    <t>System account exists and is authenticated where applicable.</t>
  </si>
  <si>
    <t>1. Set up preconditions: System account exists and is authenticated where applicable.
2. Perform the action described: "OCR triggered automatically."
3. Observe system behaviour.</t>
  </si>
  <si>
    <t>System behaves exactly as specified: OCR triggered automatically.</t>
  </si>
  <si>
    <t>TC-0423</t>
  </si>
  <si>
    <t>OCR Processing - Structured data extracted.</t>
  </si>
  <si>
    <t>1. Set up preconditions: System account exists and is authenticated where applicable.
2. Perform the action described: "Structured data extracted."
3. Observe system behaviour.</t>
  </si>
  <si>
    <t>System behaves exactly as specified: Structured data extracted.</t>
  </si>
  <si>
    <t>TC-0424</t>
  </si>
  <si>
    <t>OCR Processing - Confidence score generated.</t>
  </si>
  <si>
    <t>1. Set up preconditions: System account exists and is authenticated where applicable.
2. Perform the action described: "Confidence score generated."
3. Observe system behaviour.</t>
  </si>
  <si>
    <t>System behaves exactly as specified: Confidence score generated.</t>
  </si>
  <si>
    <t>TC-0425</t>
  </si>
  <si>
    <t>OCR Processing - OCR result stored.</t>
  </si>
  <si>
    <t>1. Set up preconditions: System account exists and is authenticated where applicable.
2. Perform the action described: "OCR result stored."
3. Observe system behaviour.</t>
  </si>
  <si>
    <t>System behaves exactly as specified: OCR result stored.</t>
  </si>
  <si>
    <t>TC-0426</t>
  </si>
  <si>
    <t>OCR Processing - Failed OCR flagged.</t>
  </si>
  <si>
    <t>1. Set up preconditions: System account exists and is authenticated where applicable.
2. Perform the action described: "Failed OCR flagged."
3. Observe system behaviour.</t>
  </si>
  <si>
    <t>System behaves exactly as specified: Failed OCR flagged.</t>
  </si>
  <si>
    <t>TC-0427</t>
  </si>
  <si>
    <t>OCR Processing - API 'POST /api/ocr/process' returns success for valid authorized request</t>
  </si>
  <si>
    <t>1. Obtain a valid authentication token for role 'System'.
2. Send request: POST /api/ocr/process with valid payload/parameters.
3. Inspect the response.</t>
  </si>
  <si>
    <t>TC-0428</t>
  </si>
  <si>
    <t>OCR Processing - API 'POST /api/ocr/process' rejects unauthorized/unauthenticated request</t>
  </si>
  <si>
    <t>1. Send request: POST /api/ocr/process without a valid authentication token.
2. Inspect the response.</t>
  </si>
  <si>
    <t>TC-0429</t>
  </si>
  <si>
    <t>OCR Processing - API 'POST /api/ocr/process' handles invalid/malformed payload</t>
  </si>
  <si>
    <t>1. Obtain a valid authentication token for role 'System'.
2. Send request: POST /api/ocr/process with missing required fields or malformed JSON.
3. Inspect the response.</t>
  </si>
  <si>
    <t>TC-0430</t>
  </si>
  <si>
    <t>OCR Processing - API 'POST /api/ocr/process' handles non-existent resource gracefully</t>
  </si>
  <si>
    <t>1. Obtain a valid authentication token for role 'System'.
2. Send request: POST /api/ocr/process referencing an ID that does not exist.
3. Inspect the response.</t>
  </si>
  <si>
    <t>TC-0431</t>
  </si>
  <si>
    <t>Document Verification - OCR data displayed.</t>
  </si>
  <si>
    <t>1. Set up preconditions: Recruiter account exists and is authenticated where applicable.
2. Perform the action described: "OCR data displayed."
3. Observe system behaviour.</t>
  </si>
  <si>
    <t>System behaves exactly as specified: OCR data displayed.</t>
  </si>
  <si>
    <t>TC-0432</t>
  </si>
  <si>
    <t>Document Verification - Original document preview available.</t>
  </si>
  <si>
    <t>1. Set up preconditions: Recruiter account exists and is authenticated where applicable.
2. Perform the action described: "Original document preview available."
3. Observe system behaviour.</t>
  </si>
  <si>
    <t>System behaves exactly as specified: Original document preview available.</t>
  </si>
  <si>
    <t>TC-0433</t>
  </si>
  <si>
    <t>Document Verification - Mismatches highlighted.</t>
  </si>
  <si>
    <t>1. Set up preconditions: Recruiter account exists and is authenticated where applicable.
2. Perform the action described: "Mismatches highlighted."
3. Observe system behaviour.</t>
  </si>
  <si>
    <t>System behaves exactly as specified: Mismatches highlighted.</t>
  </si>
  <si>
    <t>TC-0434</t>
  </si>
  <si>
    <t>Document Verification - Verification status updated.</t>
  </si>
  <si>
    <t>1. Set up preconditions: Recruiter account exists and is authenticated where applicable.
2. Perform the action described: "Verification status updated."
3. Observe system behaviour.</t>
  </si>
  <si>
    <t>System behaves exactly as specified: Verification status updated.</t>
  </si>
  <si>
    <t>TC-0435</t>
  </si>
  <si>
    <t>Document Verification - Access denied for unauthorized role (Super Admin)</t>
  </si>
  <si>
    <t>1. Log in as Super Admin.
2. Attempt to access/perform: "Document Verification".</t>
  </si>
  <si>
    <t>TC-0436</t>
  </si>
  <si>
    <t>Document Verification - Access denied for unauthorized role (Candidate)</t>
  </si>
  <si>
    <t>1. Log in as Candidate.
2. Attempt to access/perform: "Document Verification".</t>
  </si>
  <si>
    <t>TC-0437</t>
  </si>
  <si>
    <t>Reject Document - Rejection reason mandatory.</t>
  </si>
  <si>
    <t>1. Set up preconditions: User account exists and is authenticated where applicable.
2. Perform the action described: "Rejection reason mandatory."
3. Observe system behaviour.</t>
  </si>
  <si>
    <t>System behaves exactly as specified: Rejection reason mandatory.</t>
  </si>
  <si>
    <t>TC-0438</t>
  </si>
  <si>
    <t>Reject Document - Candidate notified.</t>
  </si>
  <si>
    <t>1. Set up preconditions: User account exists and is authenticated where applicable.
2. Perform the action described: "Candidate notified."
3. Observe system behaviour.</t>
  </si>
  <si>
    <t>System behaves exactly as specified: Candidate notified.</t>
  </si>
  <si>
    <t>TC-0439</t>
  </si>
  <si>
    <t>Reject Document - Document status updated.</t>
  </si>
  <si>
    <t>1. Set up preconditions: User account exists and is authenticated where applicable.
2. Perform the action described: "Document status updated."
3. Observe system behaviour.</t>
  </si>
  <si>
    <t>TC-0440</t>
  </si>
  <si>
    <t>Reject Document - Access denied for unauthorized role (Super Admin)</t>
  </si>
  <si>
    <t>1. Log in as Super Admin.
2. Attempt to access/perform: "Reject Document".</t>
  </si>
  <si>
    <t>TC-0441</t>
  </si>
  <si>
    <t>Reject Document - Access denied for unauthorized role (Recruiter)</t>
  </si>
  <si>
    <t>1. Log in as Recruiter.
2. Attempt to access/perform: "Reject Document".</t>
  </si>
  <si>
    <t>TC-0442</t>
  </si>
  <si>
    <t>Reject Document - Access denied for unauthorized role (Candidate)</t>
  </si>
  <si>
    <t>1. Log in as Candidate.
2. Attempt to access/perform: "Reject Document".</t>
  </si>
  <si>
    <t>TC-0443</t>
  </si>
  <si>
    <t>Re-upload Document - Previous version retained.</t>
  </si>
  <si>
    <t>1. Set up preconditions: User account exists and is authenticated where applicable.
2. Perform the action described: "Previous version retained."
3. Observe system behaviour.</t>
  </si>
  <si>
    <t>System behaves exactly as specified: Previous version retained.</t>
  </si>
  <si>
    <t>TC-0444</t>
  </si>
  <si>
    <t>Re-upload Document - New version becomes active.</t>
  </si>
  <si>
    <t>1. Set up preconditions: User account exists and is authenticated where applicable.
2. Perform the action described: "New version becomes active."
3. Observe system behaviour.</t>
  </si>
  <si>
    <t>System behaves exactly as specified: New version becomes active.</t>
  </si>
  <si>
    <t>TC-0445</t>
  </si>
  <si>
    <t>Re-upload Document - Recruiter notified.</t>
  </si>
  <si>
    <t>1. Set up preconditions: User account exists and is authenticated where applicable.
2. Perform the action described: "Recruiter notified."
3. Observe system behaviour.</t>
  </si>
  <si>
    <t>System behaves exactly as specified: Recruiter notified.</t>
  </si>
  <si>
    <t>TC-0446</t>
  </si>
  <si>
    <t>Re-upload Document - Access denied for unauthorized role (Super Admin)</t>
  </si>
  <si>
    <t>1. Log in as Super Admin.
2. Attempt to access/perform: "Re-upload Document".</t>
  </si>
  <si>
    <t>TC-0447</t>
  </si>
  <si>
    <t>Re-upload Document - Access denied for unauthorized role (Recruiter)</t>
  </si>
  <si>
    <t>1. Log in as Recruiter.
2. Attempt to access/perform: "Re-upload Document".</t>
  </si>
  <si>
    <t>TC-0448</t>
  </si>
  <si>
    <t>Re-upload Document - Access denied for unauthorized role (Candidate)</t>
  </si>
  <si>
    <t>1. Log in as Candidate.
2. Attempt to access/perform: "Re-upload Document".</t>
  </si>
  <si>
    <t>TC-0449</t>
  </si>
  <si>
    <t>Re-upload Document - Prevents duplicate submission on repeated/rapid clicks</t>
  </si>
  <si>
    <t>TC-0450</t>
  </si>
  <si>
    <t>Digital Signature - Signature mandatory.</t>
  </si>
  <si>
    <t>1. Set up preconditions: Candidate account exists and is authenticated where applicable.
2. Perform the action described: "Signature mandatory."
3. Observe system behaviour.</t>
  </si>
  <si>
    <t>System behaves exactly as specified: Signature mandatory.</t>
  </si>
  <si>
    <t>TC-0451</t>
  </si>
  <si>
    <t>Digital Signature - Timestamp recorded.</t>
  </si>
  <si>
    <t>1. Set up preconditions: Candidate account exists and is authenticated where applicable.
2. Perform the action described: "Timestamp recorded."
3. Observe system behaviour.</t>
  </si>
  <si>
    <t>System behaves exactly as specified: Timestamp recorded.</t>
  </si>
  <si>
    <t>TC-0452</t>
  </si>
  <si>
    <t>Digital Signature - Signed PDF generated.</t>
  </si>
  <si>
    <t>1. Set up preconditions: Candidate account exists and is authenticated where applicable.
2. Perform the action described: "Signed PDF generated."
3. Observe system behaviour.</t>
  </si>
  <si>
    <t>System behaves exactly as specified: Signed PDF generated.</t>
  </si>
  <si>
    <t>TC-0453</t>
  </si>
  <si>
    <t>Digital Signature - Audit log created.</t>
  </si>
  <si>
    <t>1. Set up preconditions: Candidate account exists and is authenticated where applicable.
2. Perform the action described: "Audit log created."
3. Observe system behaviour.</t>
  </si>
  <si>
    <t>System behaves exactly as specified: Audit log created.</t>
  </si>
  <si>
    <t>TC-0454</t>
  </si>
  <si>
    <t>Digital Signature - API 'POST /api/signature/sign' returns success for valid authorized request</t>
  </si>
  <si>
    <t>1. Obtain a valid authentication token for role 'Candidate'.
2. Send request: POST /api/signature/sign with valid payload/parameters.
3. Inspect the response.</t>
  </si>
  <si>
    <t>TC-0455</t>
  </si>
  <si>
    <t>Digital Signature - API 'POST /api/signature/sign' rejects unauthorized/unauthenticated request</t>
  </si>
  <si>
    <t>1. Send request: POST /api/signature/sign without a valid authentication token.
2. Inspect the response.</t>
  </si>
  <si>
    <t>TC-0456</t>
  </si>
  <si>
    <t>Digital Signature - API 'POST /api/signature/sign' handles invalid/malformed payload</t>
  </si>
  <si>
    <t>1. Obtain a valid authentication token for role 'Candidate'.
2. Send request: POST /api/signature/sign with missing required fields or malformed JSON.
3. Inspect the response.</t>
  </si>
  <si>
    <t>TC-0457</t>
  </si>
  <si>
    <t>Digital Signature - API 'POST /api/signature/sign' handles non-existent resource gracefully</t>
  </si>
  <si>
    <t>1. Obtain a valid authentication token for role 'Candidate'.
2. Send request: POST /api/signature/sign referencing an ID that does not exist.
3. Inspect the response.</t>
  </si>
  <si>
    <t>TC-0458</t>
  </si>
  <si>
    <t>Digital Signature - Access denied for unauthorized role (Super Admin)</t>
  </si>
  <si>
    <t>1. Log in as Super Admin.
2. Attempt to access/perform: "Digital Signature".</t>
  </si>
  <si>
    <t>TC-0459</t>
  </si>
  <si>
    <t>Digital Signature - Access denied for unauthorized role (Recruiter)</t>
  </si>
  <si>
    <t>1. Log in as Recruiter.
2. Attempt to access/perform: "Digital Signature".</t>
  </si>
  <si>
    <t>TC-0460</t>
  </si>
  <si>
    <t>NDA Acceptance - NDA displayed.</t>
  </si>
  <si>
    <t>1. Set up preconditions: User account exists and is authenticated where applicable.
2. Perform the action described: "NDA displayed."
3. Observe system behaviour.</t>
  </si>
  <si>
    <t>System behaves exactly as specified: NDA displayed.</t>
  </si>
  <si>
    <t>TC-0461</t>
  </si>
  <si>
    <t>NDA Acceptance - Acceptance mandatory.</t>
  </si>
  <si>
    <t>1. Set up preconditions: User account exists and is authenticated where applicable.
2. Perform the action described: "Acceptance mandatory."
3. Observe system behaviour.</t>
  </si>
  <si>
    <t>System behaves exactly as specified: Acceptance mandatory.</t>
  </si>
  <si>
    <t>TC-0462</t>
  </si>
  <si>
    <t>NDA Acceptance - Signed copy stored.</t>
  </si>
  <si>
    <t>1. Set up preconditions: User account exists and is authenticated where applicable.
2. Perform the action described: "Signed copy stored."
3. Observe system behaviour.</t>
  </si>
  <si>
    <t>System behaves exactly as specified: Signed copy stored.</t>
  </si>
  <si>
    <t>TC-0463</t>
  </si>
  <si>
    <t>NDA Acceptance - Access denied for unauthorized role (Super Admin)</t>
  </si>
  <si>
    <t>1. Log in as Super Admin.
2. Attempt to access/perform: "NDA Acceptance".</t>
  </si>
  <si>
    <t>TC-0464</t>
  </si>
  <si>
    <t>NDA Acceptance - Access denied for unauthorized role (Recruiter)</t>
  </si>
  <si>
    <t>1. Log in as Recruiter.
2. Attempt to access/perform: "NDA Acceptance".</t>
  </si>
  <si>
    <t>TC-0465</t>
  </si>
  <si>
    <t>NDA Acceptance - Access denied for unauthorized role (Candidate)</t>
  </si>
  <si>
    <t>1. Log in as Candidate.
2. Attempt to access/perform: "NDA Acceptance".</t>
  </si>
  <si>
    <t>TC-0466</t>
  </si>
  <si>
    <t>Document Version History - Previous versions retained.</t>
  </si>
  <si>
    <t>1. Set up preconditions: User account exists and is authenticated where applicable.
2. Perform the action described: "Previous versions retained."
3. Observe system behaviour.</t>
  </si>
  <si>
    <t>System behaves exactly as specified: Previous versions retained.</t>
  </si>
  <si>
    <t>TC-0467</t>
  </si>
  <si>
    <t>Document Version History - Latest version active.</t>
  </si>
  <si>
    <t>1. Set up preconditions: User account exists and is authenticated where applicable.
2. Perform the action described: "Latest version active."
3. Observe system behaviour.</t>
  </si>
  <si>
    <t>System behaves exactly as specified: Latest version active.</t>
  </si>
  <si>
    <t>TC-0468</t>
  </si>
  <si>
    <t>Document Version History - Version timestamps available.</t>
  </si>
  <si>
    <t>1. Set up preconditions: User account exists and is authenticated where applicable.
2. Perform the action described: "Version timestamps available."
3. Observe system behaviour.</t>
  </si>
  <si>
    <t>System behaves exactly as specified: Version timestamps available.</t>
  </si>
  <si>
    <t>TC-0469</t>
  </si>
  <si>
    <t>Document Version History - Access denied for unauthorized role (Super Admin)</t>
  </si>
  <si>
    <t>1. Log in as Super Admin.
2. Attempt to access/perform: "Document Version History".</t>
  </si>
  <si>
    <t>TC-0470</t>
  </si>
  <si>
    <t>Document Version History - Access denied for unauthorized role (Recruiter)</t>
  </si>
  <si>
    <t>1. Log in as Recruiter.
2. Attempt to access/perform: "Document Version History".</t>
  </si>
  <si>
    <t>TC-0471</t>
  </si>
  <si>
    <t>Document Version History - Access denied for unauthorized role (Candidate)</t>
  </si>
  <si>
    <t>1. Log in as Candidate.
2. Attempt to access/perform: "Document Version History".</t>
  </si>
  <si>
    <t>TC-0472</t>
  </si>
  <si>
    <t>Document Download - Authorization checked.</t>
  </si>
  <si>
    <t>1. Set up preconditions: User account exists and is authenticated where applicable.
2. Perform the action described: "Authorization checked."
3. Observe system behaviour.</t>
  </si>
  <si>
    <t>System behaves exactly as specified: Authorization checked.</t>
  </si>
  <si>
    <t>TC-0473</t>
  </si>
  <si>
    <t>Document Download - Download successful.</t>
  </si>
  <si>
    <t>1. Set up preconditions: User account exists and is authenticated where applicable.
2. Perform the action described: "Download successful."
3. Observe system behaviour.</t>
  </si>
  <si>
    <t>System behaves exactly as specified: Download successful.</t>
  </si>
  <si>
    <t>TC-0474</t>
  </si>
  <si>
    <t>Document Download - Download activity logged.</t>
  </si>
  <si>
    <t>1. Set up preconditions: User account exists and is authenticated where applicable.
2. Perform the action described: "Download activity logged."
3. Observe system behaviour.</t>
  </si>
  <si>
    <t>System behaves exactly as specified: Download activity logged.</t>
  </si>
  <si>
    <t>TC-0475</t>
  </si>
  <si>
    <t>Document Download - Access denied for unauthorized role (Super Admin)</t>
  </si>
  <si>
    <t>1. Log in as Super Admin.
2. Attempt to access/perform: "Document Download".</t>
  </si>
  <si>
    <t>TC-0476</t>
  </si>
  <si>
    <t>Document Download - Access denied for unauthorized role (Recruiter)</t>
  </si>
  <si>
    <t>1. Log in as Recruiter.
2. Attempt to access/perform: "Document Download".</t>
  </si>
  <si>
    <t>TC-0477</t>
  </si>
  <si>
    <t>Document Download - Access denied for unauthorized role (Candidate)</t>
  </si>
  <si>
    <t>1. Log in as Candidate.
2. Attempt to access/perform: "Document Download".</t>
  </si>
  <si>
    <t>TC-0478</t>
  </si>
  <si>
    <t>Document Status Tracking - Status updates automatically.</t>
  </si>
  <si>
    <t>1. Set up preconditions: User account exists and is authenticated where applicable.
2. Perform the action described: "Status updates automatically."
3. Observe system behaviour.</t>
  </si>
  <si>
    <t>System behaves exactly as specified: Status updates automatically.</t>
  </si>
  <si>
    <t>TC-0479</t>
  </si>
  <si>
    <t>Document Status Tracking - Status history maintained.</t>
  </si>
  <si>
    <t>1. Set up preconditions: User account exists and is authenticated where applicable.
2. Perform the action described: "Status history maintained."
3. Observe system behaviour.</t>
  </si>
  <si>
    <t>System behaves exactly as specified: Status history maintained.</t>
  </si>
  <si>
    <t>TC-0480</t>
  </si>
  <si>
    <t>Document Status Tracking - Candidate notified on status changes.</t>
  </si>
  <si>
    <t>1. Set up preconditions: User account exists and is authenticated where applicable.
2. Perform the action described: "Candidate notified on status changes."
3. Observe system behaviour.</t>
  </si>
  <si>
    <t>System behaves exactly as specified: Candidate notified on status changes.</t>
  </si>
  <si>
    <t>TC-0481</t>
  </si>
  <si>
    <t>Document Status Tracking - Access denied for unauthorized role (Super Admin)</t>
  </si>
  <si>
    <t>1. Log in as Super Admin.
2. Attempt to access/perform: "Document Status Tracking".</t>
  </si>
  <si>
    <t>TC-0482</t>
  </si>
  <si>
    <t>Document Status Tracking - Access denied for unauthorized role (Recruiter)</t>
  </si>
  <si>
    <t>1. Log in as Recruiter.
2. Attempt to access/perform: "Document Status Tracking".</t>
  </si>
  <si>
    <t>TC-0483</t>
  </si>
  <si>
    <t>Document Status Tracking - Access denied for unauthorized role (Candidate)</t>
  </si>
  <si>
    <t>1. Log in as Candidate.
2. Attempt to access/perform: "Document Status Tracking".</t>
  </si>
  <si>
    <t>TC-0484</t>
  </si>
  <si>
    <t>Secure Document Storage - Documents stored securely.</t>
  </si>
  <si>
    <t>1. Set up preconditions: System account exists and is authenticated where applicable.
2. Perform the action described: "Documents stored securely."
3. Observe system behaviour.</t>
  </si>
  <si>
    <t>System behaves exactly as specified: Documents stored securely.</t>
  </si>
  <si>
    <t>TC-0485</t>
  </si>
  <si>
    <t>Secure Document Storage - Private bucket enforced.</t>
  </si>
  <si>
    <t>1. Set up preconditions: System account exists and is authenticated where applicable.
2. Perform the action described: "Private bucket enforced."
3. Observe system behaviour.</t>
  </si>
  <si>
    <t>System behaves exactly as specified: Private bucket enforced.</t>
  </si>
  <si>
    <t>TC-0486</t>
  </si>
  <si>
    <t>Secure Document Storage - Signed URLs generated for access.</t>
  </si>
  <si>
    <t>1. Set up preconditions: System account exists and is authenticated where applicable.
2. Perform the action described: "Signed URLs generated for access."
3. Observe system behaviour.</t>
  </si>
  <si>
    <t>System behaves exactly as specified: Signed URLs generated for access.</t>
  </si>
  <si>
    <t>TC-0487</t>
  </si>
  <si>
    <t>Secure Document Storage - Metadata synchronized.</t>
  </si>
  <si>
    <t>1. Set up preconditions: System account exists and is authenticated where applicable.
2. Perform the action described: "Metadata synchronized."
3. Observe system behaviour.</t>
  </si>
  <si>
    <t>System behaves exactly as specified: Metadata synchronized.</t>
  </si>
  <si>
    <t>TC-0488</t>
  </si>
  <si>
    <t>Secure Document Storage - Audit logs maintained.</t>
  </si>
  <si>
    <t>1. Set up preconditions: System account exists and is authenticated where applicable.
2. Perform the action described: "Audit logs maintained."
3. Observe system behaviour.</t>
  </si>
  <si>
    <t>System behaves exactly as specified: Audit logs maintained.</t>
  </si>
  <si>
    <t>TC-0489</t>
  </si>
  <si>
    <t>Secure Document Storage - Business rule enforcement: No public document access.</t>
  </si>
  <si>
    <t>1. System account exists and is authenticated where applicable.
2. Perform an action that would violate the rule: "No public document access."
3. Submit / confirm the action.</t>
  </si>
  <si>
    <t>System enforces business rule and prevents violation: No public document access.</t>
  </si>
  <si>
    <t>TC-0490</t>
  </si>
  <si>
    <t>Secure Document Storage - Business rule enforcement: Signed URL expiration configurable.</t>
  </si>
  <si>
    <t>1. System account exists and is authenticated where applicable.
2. Perform an action that would violate the rule: "Signed URL expiration configurable."
3. Submit / confirm the action.</t>
  </si>
  <si>
    <t>System enforces business rule and prevents violation: Signed URL expiration configurable.</t>
  </si>
  <si>
    <t>TC-0491</t>
  </si>
  <si>
    <t>Secure Document Storage - Business rule enforcement: All access events logged.</t>
  </si>
  <si>
    <t>1. System account exists and is authenticated where applicable.
2. Perform an action that would violate the rule: "All access events logged."
3. Submit / confirm the action.</t>
  </si>
  <si>
    <t>System enforces business rule and prevents violation: All access events logged.</t>
  </si>
  <si>
    <t>TC-0492</t>
  </si>
  <si>
    <t>Secure Document Storage - API 'GET /api/documents/{id}' returns success for valid authorized request</t>
  </si>
  <si>
    <t>1. Obtain a valid authentication token for role 'System'.
2. Send request: GET /api/documents/{id} with valid payload/parameters.
3. Inspect the response.</t>
  </si>
  <si>
    <t>TC-0493</t>
  </si>
  <si>
    <t>Secure Document Storage - API 'GET /api/documents/{id}' rejects unauthorized/unauthenticated request</t>
  </si>
  <si>
    <t>1. Send request: GET /api/documents/{id} without a valid authentication token.
2. Inspect the response.</t>
  </si>
  <si>
    <t>TC-0494</t>
  </si>
  <si>
    <t>Secure Document Storage - API 'GET /api/documents/{id}' handles invalid/malformed payload</t>
  </si>
  <si>
    <t>1. Obtain a valid authentication token for role 'System'.
2. Send request: GET /api/documents/{id} with missing required fields or malformed JSON.
3. Inspect the response.</t>
  </si>
  <si>
    <t>TC-0495</t>
  </si>
  <si>
    <t>Secure Document Storage - API 'GET /api/documents/{id}' handles non-existent resource gracefully</t>
  </si>
  <si>
    <t>1. Obtain a valid authentication token for role 'System'.
2. Send request: GET /api/documents/{id} referencing an ID that does not exist.
3. Inspect the response.</t>
  </si>
  <si>
    <t>TC-0496</t>
  </si>
  <si>
    <t>Secure Document Storage - API 'DELETE /api/documents/{id}' returns success for valid authorized request</t>
  </si>
  <si>
    <t>1. Obtain a valid authentication token for role 'System'.
2. Send request: DELETE /api/documents/{id} with valid payload/parameters.
3. Inspect the response.</t>
  </si>
  <si>
    <t>TC-0497</t>
  </si>
  <si>
    <t>Secure Document Storage - API 'DELETE /api/documents/{id}' rejects unauthorized/unauthenticated request</t>
  </si>
  <si>
    <t>1. Send request: DELETE /api/documents/{id} without a valid authentication token.
2. Inspect the response.</t>
  </si>
  <si>
    <t>TC-0498</t>
  </si>
  <si>
    <t>Secure Document Storage - API 'DELETE /api/documents/{id}' handles invalid/malformed payload</t>
  </si>
  <si>
    <t>1. Obtain a valid authentication token for role 'System'.
2. Send request: DELETE /api/documents/{id} with missing required fields or malformed JSON.
3. Inspect the response.</t>
  </si>
  <si>
    <t>TC-0499</t>
  </si>
  <si>
    <t>Secure Document Storage - API 'DELETE /api/documents/{id}' handles non-existent resource gracefully</t>
  </si>
  <si>
    <t>1. Obtain a valid authentication token for role 'System'.
2. Send request: DELETE /api/documents/{id} referencing an ID that does not exist.
3. Inspect the response.</t>
  </si>
  <si>
    <t>TC-0500</t>
  </si>
  <si>
    <t>Secure Document Storage - API 'GET /api/documents/download/{id}' returns success for valid authorized request</t>
  </si>
  <si>
    <t>1. Obtain a valid authentication token for role 'System'.
2. Send request: GET /api/documents/download/{id} with valid payload/parameters.
3. Inspect the response.</t>
  </si>
  <si>
    <t>TC-0501</t>
  </si>
  <si>
    <t>Secure Document Storage - API 'GET /api/documents/download/{id}' rejects unauthorized/unauthenticated request</t>
  </si>
  <si>
    <t>1. Send request: GET /api/documents/download/{id} without a valid authentication token.
2. Inspect the response.</t>
  </si>
  <si>
    <t>TC-0502</t>
  </si>
  <si>
    <t>Secure Document Storage - API 'GET /api/documents/download/{id}' handles invalid/malformed payload</t>
  </si>
  <si>
    <t>1. Obtain a valid authentication token for role 'System'.
2. Send request: GET /api/documents/download/{id} with missing required fields or malformed JSON.
3. Inspect the response.</t>
  </si>
  <si>
    <t>TC-0503</t>
  </si>
  <si>
    <t>Secure Document Storage - API 'GET /api/documents/download/{id}' handles non-existent resource gracefully</t>
  </si>
  <si>
    <t>1. Obtain a valid authentication token for role 'System'.
2. Send request: GET /api/documents/download/{id} referencing an ID that does not exist.
3. Inspect the response.</t>
  </si>
  <si>
    <t>TC-0504</t>
  </si>
  <si>
    <t>Start Employee Onboarding - Onboarding starts successfully.</t>
  </si>
  <si>
    <t>1. Set up preconditions: Recruiter account exists and is authenticated where applicable.
2. Perform the action described: "Onboarding starts successfully."
3. Observe system behaviour.</t>
  </si>
  <si>
    <t>System behaves exactly as specified: Onboarding starts successfully.</t>
  </si>
  <si>
    <t>TC-0505</t>
  </si>
  <si>
    <t>Start Employee Onboarding - Checklist generated.</t>
  </si>
  <si>
    <t>1. Set up preconditions: Recruiter account exists and is authenticated where applicable.
2. Perform the action described: "Checklist generated."
3. Observe system behaviour.</t>
  </si>
  <si>
    <t>System behaves exactly as specified: Checklist generated.</t>
  </si>
  <si>
    <t>TC-0506</t>
  </si>
  <si>
    <t>Start Employee Onboarding - Candidate notified.</t>
  </si>
  <si>
    <t>1. Set up preconditions: Recruiter account exists and is authenticated where applicable.
2. Perform the action described: "Candidate notified."
3. Observe system behaviour.</t>
  </si>
  <si>
    <t>TC-0507</t>
  </si>
  <si>
    <t>Start Employee Onboarding - Timeline created.</t>
  </si>
  <si>
    <t>1. Set up preconditions: Recruiter account exists and is authenticated where applicable.
2. Perform the action described: "Timeline created."
3. Observe system behaviour.</t>
  </si>
  <si>
    <t>System behaves exactly as specified: Timeline created.</t>
  </si>
  <si>
    <t>TC-0508</t>
  </si>
  <si>
    <t>Start Employee Onboarding - Status updated to "Onboarding Started."</t>
  </si>
  <si>
    <t>1. Set up preconditions: Recruiter account exists and is authenticated where applicable.
2. Perform the action described: "Status updated to "Onboarding Started.""
3. Observe system behaviour.</t>
  </si>
  <si>
    <t>System behaves exactly as specified: Status updated to "Onboarding Started."</t>
  </si>
  <si>
    <t>TC-0509</t>
  </si>
  <si>
    <t>Start Employee Onboarding - API 'POST /api/onboarding/start' returns success for valid authorized request</t>
  </si>
  <si>
    <t>1. Obtain a valid authentication token for role 'Recruiter'.
2. Send request: POST /api/onboarding/start with valid payload/parameters.
3. Inspect the response.</t>
  </si>
  <si>
    <t>TC-0510</t>
  </si>
  <si>
    <t>Start Employee Onboarding - API 'POST /api/onboarding/start' rejects unauthorized/unauthenticated request</t>
  </si>
  <si>
    <t>1. Send request: POST /api/onboarding/start without a valid authentication token.
2. Inspect the response.</t>
  </si>
  <si>
    <t>TC-0511</t>
  </si>
  <si>
    <t>Start Employee Onboarding - API 'POST /api/onboarding/start' handles invalid/malformed payload</t>
  </si>
  <si>
    <t>1. Obtain a valid authentication token for role 'Recruiter'.
2. Send request: POST /api/onboarding/start with missing required fields or malformed JSON.
3. Inspect the response.</t>
  </si>
  <si>
    <t>TC-0512</t>
  </si>
  <si>
    <t>Start Employee Onboarding - API 'POST /api/onboarding/start' handles non-existent resource gracefully</t>
  </si>
  <si>
    <t>1. Obtain a valid authentication token for role 'Recruiter'.
2. Send request: POST /api/onboarding/start referencing an ID that does not exist.
3. Inspect the response.</t>
  </si>
  <si>
    <t>TC-0513</t>
  </si>
  <si>
    <t>Start Employee Onboarding - Access denied for unauthorized role (Super Admin)</t>
  </si>
  <si>
    <t>1. Log in as Super Admin.
2. Attempt to access/perform: "Start Employee Onboarding".</t>
  </si>
  <si>
    <t>TC-0514</t>
  </si>
  <si>
    <t>Start Employee Onboarding - Access denied for unauthorized role (Candidate)</t>
  </si>
  <si>
    <t>1. Log in as Candidate.
2. Attempt to access/perform: "Start Employee Onboarding".</t>
  </si>
  <si>
    <t>TC-0515</t>
  </si>
  <si>
    <t>Generate Onboarding Checklist - Checklist automatically created.</t>
  </si>
  <si>
    <t>1. Set up preconditions: System account exists and is authenticated where applicable.
2. Perform the action described: "Checklist automatically created."
3. Observe system behaviour.</t>
  </si>
  <si>
    <t>System behaves exactly as specified: Checklist automatically created.</t>
  </si>
  <si>
    <t>TC-0516</t>
  </si>
  <si>
    <t>Generate Onboarding Checklist - Tasks assigned in sequence.</t>
  </si>
  <si>
    <t>1. Set up preconditions: System account exists and is authenticated where applicable.
2. Perform the action described: "Tasks assigned in sequence."
3. Observe system behaviour.</t>
  </si>
  <si>
    <t>System behaves exactly as specified: Tasks assigned in sequence.</t>
  </si>
  <si>
    <t>TC-0517</t>
  </si>
  <si>
    <t>Generate Onboarding Checklist - Mandatory tasks identified.</t>
  </si>
  <si>
    <t>1. Set up preconditions: System account exists and is authenticated where applicable.
2. Perform the action described: "Mandatory tasks identified."
3. Observe system behaviour.</t>
  </si>
  <si>
    <t>System behaves exactly as specified: Mandatory tasks identified.</t>
  </si>
  <si>
    <t>TC-0518</t>
  </si>
  <si>
    <t>Generate Onboarding Checklist - Due dates generated.</t>
  </si>
  <si>
    <t>1. Set up preconditions: System account exists and is authenticated where applicable.
2. Perform the action described: "Due dates generated."
3. Observe system behaviour.</t>
  </si>
  <si>
    <t>System behaves exactly as specified: Due dates generated.</t>
  </si>
  <si>
    <t>TC-0519</t>
  </si>
  <si>
    <t>Generate Onboarding Checklist - Displays correctly when no data is available</t>
  </si>
  <si>
    <t>1. System account exists and is authenticated where applicable.
2. Ensure there is no underlying data (empty dataset).
3. Open the screen.</t>
  </si>
  <si>
    <t>TC-0520</t>
  </si>
  <si>
    <t>Generate Onboarding Checklist - Handles large dataset with pagination correctly</t>
  </si>
  <si>
    <t>1. System account exists and is authenticated where applicable.
2. Ensure the dataset contains a large number of records (e.g. 500+).
3. Load the screen and navigate through pages.</t>
  </si>
  <si>
    <t>TC-0521</t>
  </si>
  <si>
    <t>View Onboarding Checklist - Checklist displayed.</t>
  </si>
  <si>
    <t>1. Set up preconditions: Candidate account exists and is authenticated where applicable.
2. Perform the action described: "Checklist displayed."
3. Observe system behaviour.</t>
  </si>
  <si>
    <t>System behaves exactly as specified: Checklist displayed.</t>
  </si>
  <si>
    <t>TC-0522</t>
  </si>
  <si>
    <t>View Onboarding Checklist - Completed tasks highlighted.</t>
  </si>
  <si>
    <t>1. Set up preconditions: Candidate account exists and is authenticated where applicable.
2. Perform the action described: "Completed tasks highlighted."
3. Observe system behaviour.</t>
  </si>
  <si>
    <t>TC-0523</t>
  </si>
  <si>
    <t>View Onboarding Checklist - Pending tasks clickable.</t>
  </si>
  <si>
    <t>1. Set up preconditions: Candidate account exists and is authenticated where applicable.
2. Perform the action described: "Pending tasks clickable."
3. Observe system behaviour.</t>
  </si>
  <si>
    <t>TC-0524</t>
  </si>
  <si>
    <t>View Onboarding Checklist - Progress percentage shown.</t>
  </si>
  <si>
    <t>1. Set up preconditions: Candidate account exists and is authenticated where applicable.
2. Perform the action described: "Progress percentage shown."
3. Observe system behaviour.</t>
  </si>
  <si>
    <t>System behaves exactly as specified: Progress percentage shown.</t>
  </si>
  <si>
    <t>TC-0525</t>
  </si>
  <si>
    <t>View Onboarding Checklist - Access denied for unauthorized role (Super Admin)</t>
  </si>
  <si>
    <t>1. Log in as Super Admin.
2. Attempt to access/perform: "View Onboarding Checklist".</t>
  </si>
  <si>
    <t>TC-0526</t>
  </si>
  <si>
    <t>View Onboarding Checklist - Access denied for unauthorized role (Recruiter)</t>
  </si>
  <si>
    <t>1. Log in as Recruiter.
2. Attempt to access/perform: "View Onboarding Checklist".</t>
  </si>
  <si>
    <t>TC-0527</t>
  </si>
  <si>
    <t>View Onboarding Checklist - Displays correctly when no data is available</t>
  </si>
  <si>
    <t>TC-0528</t>
  </si>
  <si>
    <t>View Onboarding Checklist - Handles large dataset with pagination correctly</t>
  </si>
  <si>
    <t>TC-0529</t>
  </si>
  <si>
    <t>Company Policy Acknowledgement - Policy viewer available.</t>
  </si>
  <si>
    <t>1. Set up preconditions: User account exists and is authenticated where applicable.
2. Perform the action described: "Policy viewer available."
3. Observe system behaviour.</t>
  </si>
  <si>
    <t>System behaves exactly as specified: Policy viewer available.</t>
  </si>
  <si>
    <t>TC-0530</t>
  </si>
  <si>
    <t>Company Policy Acknowledgement - Mandatory acknowledgement.</t>
  </si>
  <si>
    <t>1. Set up preconditions: User account exists and is authenticated where applicable.
2. Perform the action described: "Mandatory acknowledgement."
3. Observe system behaviour.</t>
  </si>
  <si>
    <t>System behaves exactly as specified: Mandatory acknowledgement.</t>
  </si>
  <si>
    <t>TC-0531</t>
  </si>
  <si>
    <t>Company Policy Acknowledgement - Timestamp stored.</t>
  </si>
  <si>
    <t>1. Set up preconditions: User account exists and is authenticated where applicable.
2. Perform the action described: "Timestamp stored."
3. Observe system behaviour.</t>
  </si>
  <si>
    <t>System behaves exactly as specified: Timestamp stored.</t>
  </si>
  <si>
    <t>TC-0532</t>
  </si>
  <si>
    <t>Company Policy Acknowledgement - Audit trail maintained.</t>
  </si>
  <si>
    <t>1. Set up preconditions: User account exists and is authenticated where applicable.
2. Perform the action described: "Audit trail maintained."
3. Observe system behaviour.</t>
  </si>
  <si>
    <t>System behaves exactly as specified: Audit trail maintained.</t>
  </si>
  <si>
    <t>TC-0533</t>
  </si>
  <si>
    <t>Company Policy Acknowledgement - Access denied for unauthorized role (Super Admin)</t>
  </si>
  <si>
    <t>1. Log in as Super Admin.
2. Attempt to access/perform: "Company Policy Acknowledgement".</t>
  </si>
  <si>
    <t>TC-0534</t>
  </si>
  <si>
    <t>Company Policy Acknowledgement - Access denied for unauthorized role (Recruiter)</t>
  </si>
  <si>
    <t>1. Log in as Recruiter.
2. Attempt to access/perform: "Company Policy Acknowledgement".</t>
  </si>
  <si>
    <t>TC-0535</t>
  </si>
  <si>
    <t>Company Policy Acknowledgement - Access denied for unauthorized role (Candidate)</t>
  </si>
  <si>
    <t>1. Log in as Candidate.
2. Attempt to access/perform: "Company Policy Acknowledgement".</t>
  </si>
  <si>
    <t>TC-0536</t>
  </si>
  <si>
    <t>Welcome Dashboard - Access denied for unauthorized role (Super Admin)</t>
  </si>
  <si>
    <t>1. Log in as Super Admin.
2. Attempt to access/perform: "Welcome Dashboard".</t>
  </si>
  <si>
    <t>TC-0537</t>
  </si>
  <si>
    <t>Welcome Dashboard - Access denied for unauthorized role (Recruiter)</t>
  </si>
  <si>
    <t>1. Log in as Recruiter.
2. Attempt to access/perform: "Welcome Dashboard".</t>
  </si>
  <si>
    <t>TC-0538</t>
  </si>
  <si>
    <t>Welcome Dashboard - Access denied for unauthorized role (Candidate)</t>
  </si>
  <si>
    <t>1. Log in as Candidate.
2. Attempt to access/perform: "Welcome Dashboard".</t>
  </si>
  <si>
    <t>TC-0539</t>
  </si>
  <si>
    <t>Welcome Dashboard - Displays correctly when no data is available</t>
  </si>
  <si>
    <t>TC-0540</t>
  </si>
  <si>
    <t>Welcome Dashboard - Handles large dataset with pagination correctly</t>
  </si>
  <si>
    <t>TC-0541</t>
  </si>
  <si>
    <t>Assign Reporting Manager - Reporting manager mandatory.</t>
  </si>
  <si>
    <t>1. Set up preconditions: Recruiter account exists and is authenticated where applicable.
2. Perform the action described: "Reporting manager mandatory."
3. Observe system behaviour.</t>
  </si>
  <si>
    <t>System behaves exactly as specified: Reporting manager mandatory.</t>
  </si>
  <si>
    <t>TC-0542</t>
  </si>
  <si>
    <t>Assign Reporting Manager - Manager exists.</t>
  </si>
  <si>
    <t>1. Set up preconditions: Recruiter account exists and is authenticated where applicable.
2. Perform the action described: "Manager exists."
3. Observe system behaviour.</t>
  </si>
  <si>
    <t>System behaves exactly as specified: Manager exists.</t>
  </si>
  <si>
    <t>TC-0543</t>
  </si>
  <si>
    <t>Assign Reporting Manager - Employee profile updated.</t>
  </si>
  <si>
    <t>1. Set up preconditions: Recruiter account exists and is authenticated where applicable.
2. Perform the action described: "Employee profile updated."
3. Observe system behaviour.</t>
  </si>
  <si>
    <t>System behaves exactly as specified: Employee profile updated.</t>
  </si>
  <si>
    <t>TC-0544</t>
  </si>
  <si>
    <t>Assign Reporting Manager - Access denied for unauthorized role (Super Admin)</t>
  </si>
  <si>
    <t>1. Log in as Super Admin.
2. Attempt to access/perform: "Assign Reporting Manager".</t>
  </si>
  <si>
    <t>TC-0545</t>
  </si>
  <si>
    <t>Assign Reporting Manager - Access denied for unauthorized role (Candidate)</t>
  </si>
  <si>
    <t>1. Log in as Candidate.
2. Attempt to access/perform: "Assign Reporting Manager".</t>
  </si>
  <si>
    <t>TC-0546</t>
  </si>
  <si>
    <t>Assign Reporting Manager - Displays correctly when no data is available</t>
  </si>
  <si>
    <t>TC-0547</t>
  </si>
  <si>
    <t>Assign Reporting Manager - Handles large dataset with pagination correctly</t>
  </si>
  <si>
    <t>TC-0548</t>
  </si>
  <si>
    <t>Assign Reporting Manager - Prevents duplicate submission on repeated/rapid clicks</t>
  </si>
  <si>
    <t>1. Recruiter account exists and is authenticated where applicable.
2. Fill valid data and click Submit/Save multiple times in quick succession or use double-click.
3. Observe the result.</t>
  </si>
  <si>
    <t>TC-0549</t>
  </si>
  <si>
    <t>Assign Department &amp; Designation - Mandatory fields validated.</t>
  </si>
  <si>
    <t>TC-0550</t>
  </si>
  <si>
    <t>Assign Department &amp; Designation - Assignment reflected in employee profile.</t>
  </si>
  <si>
    <t>1. Set up preconditions: User account exists and is authenticated where applicable.
2. Perform the action described: "Assignment reflected in employee profile."
3. Observe system behaviour.</t>
  </si>
  <si>
    <t>System behaves exactly as specified: Assignment reflected in employee profile.</t>
  </si>
  <si>
    <t>TC-0551</t>
  </si>
  <si>
    <t>Assign Department &amp; Designation - Access denied for unauthorized role (Super Admin)</t>
  </si>
  <si>
    <t>1. Log in as Super Admin.
2. Attempt to access/perform: "Assign Department &amp; Designation".</t>
  </si>
  <si>
    <t>TC-0552</t>
  </si>
  <si>
    <t>Assign Department &amp; Designation - Access denied for unauthorized role (Recruiter)</t>
  </si>
  <si>
    <t>1. Log in as Recruiter.
2. Attempt to access/perform: "Assign Department &amp; Designation".</t>
  </si>
  <si>
    <t>TC-0553</t>
  </si>
  <si>
    <t>Assign Department &amp; Designation - Access denied for unauthorized role (Candidate)</t>
  </si>
  <si>
    <t>1. Log in as Candidate.
2. Attempt to access/perform: "Assign Department &amp; Designation".</t>
  </si>
  <si>
    <t>TC-0554</t>
  </si>
  <si>
    <t>Assign Department &amp; Designation - Prevents duplicate submission on repeated/rapid clicks</t>
  </si>
  <si>
    <t>TC-0555</t>
  </si>
  <si>
    <t>Provision Official Email - Official email recorded.</t>
  </si>
  <si>
    <t>1. Set up preconditions: User account exists and is authenticated where applicable.
2. Perform the action described: "Official email recorded."
3. Observe system behaviour.</t>
  </si>
  <si>
    <t>System behaves exactly as specified: Official email recorded.</t>
  </si>
  <si>
    <t>TC-0556</t>
  </si>
  <si>
    <t>Provision Official Email - Email format validated.</t>
  </si>
  <si>
    <t>1. Set up preconditions: User account exists and is authenticated where applicable.
2. Perform the action described: "Email format validated."
3. Observe system behaviour.</t>
  </si>
  <si>
    <t>System behaves exactly as specified: Email format validated.</t>
  </si>
  <si>
    <t>TC-0557</t>
  </si>
  <si>
    <t>Provision Official Email - Visible in employee profile.</t>
  </si>
  <si>
    <t>1. Set up preconditions: User account exists and is authenticated where applicable.
2. Perform the action described: "Visible in employee profile."
3. Observe system behaviour.</t>
  </si>
  <si>
    <t>System behaves exactly as specified: Visible in employee profile.</t>
  </si>
  <si>
    <t>TC-0558</t>
  </si>
  <si>
    <t>Provision Official Email - \&gt; Note: Since your project has only three roles, the system records the email rather than implementing IT approval.</t>
  </si>
  <si>
    <t>1. Set up preconditions: User account exists and is authenticated where applicable.
2. Perform the action described: "\&gt; Note: Since your project has only three roles, the system records the email rather than implementing IT approval."
3. Observe system behaviour.</t>
  </si>
  <si>
    <t>System behaves exactly as specified: \&gt; Note: Since your project has only three roles, the system records the email rather than implementing IT approval.</t>
  </si>
  <si>
    <t>TC-0559</t>
  </si>
  <si>
    <t>Provision Official Email - Access denied for unauthorized role (Super Admin)</t>
  </si>
  <si>
    <t>1. Log in as Super Admin.
2. Attempt to access/perform: "Provision Official Email".</t>
  </si>
  <si>
    <t>TC-0560</t>
  </si>
  <si>
    <t>Provision Official Email - Access denied for unauthorized role (Recruiter)</t>
  </si>
  <si>
    <t>1. Log in as Recruiter.
2. Attempt to access/perform: "Provision Official Email".</t>
  </si>
  <si>
    <t>TC-0561</t>
  </si>
  <si>
    <t>Provision Official Email - Access denied for unauthorized role (Candidate)</t>
  </si>
  <si>
    <t>1. Log in as Candidate.
2. Attempt to access/perform: "Provision Official Email".</t>
  </si>
  <si>
    <t>TC-0562</t>
  </si>
  <si>
    <t>Asset Assignment - Multiple assets supported.</t>
  </si>
  <si>
    <t>1. Set up preconditions: User account exists and is authenticated where applicable.
2. Perform the action described: "Multiple assets supported."
3. Observe system behaviour.</t>
  </si>
  <si>
    <t>System behaves exactly as specified: Multiple assets supported.</t>
  </si>
  <si>
    <t>TC-0563</t>
  </si>
  <si>
    <t>Asset Assignment - Asset history maintained.</t>
  </si>
  <si>
    <t>1. Set up preconditions: User account exists and is authenticated where applicable.
2. Perform the action described: "Asset history maintained."
3. Observe system behaviour.</t>
  </si>
  <si>
    <t>System behaves exactly as specified: Asset history maintained.</t>
  </si>
  <si>
    <t>TC-0564</t>
  </si>
  <si>
    <t>Asset Assignment - Assignment report available.</t>
  </si>
  <si>
    <t>1. Set up preconditions: User account exists and is authenticated where applicable.
2. Perform the action described: "Assignment report available."
3. Observe system behaviour.</t>
  </si>
  <si>
    <t>System behaves exactly as specified: Assignment report available.</t>
  </si>
  <si>
    <t>TC-0565</t>
  </si>
  <si>
    <t>Asset Assignment - Access denied for unauthorized role (Super Admin)</t>
  </si>
  <si>
    <t>1. Log in as Super Admin.
2. Attempt to access/perform: "Asset Assignment".</t>
  </si>
  <si>
    <t>TC-0566</t>
  </si>
  <si>
    <t>Asset Assignment - Access denied for unauthorized role (Recruiter)</t>
  </si>
  <si>
    <t>1. Log in as Recruiter.
2. Attempt to access/perform: "Asset Assignment".</t>
  </si>
  <si>
    <t>TC-0567</t>
  </si>
  <si>
    <t>Asset Assignment - Access denied for unauthorized role (Candidate)</t>
  </si>
  <si>
    <t>1. Log in as Candidate.
2. Attempt to access/perform: "Asset Assignment".</t>
  </si>
  <si>
    <t>TC-0568</t>
  </si>
  <si>
    <t>Asset Assignment - Prevents duplicate submission on repeated/rapid clicks</t>
  </si>
  <si>
    <t>TC-0569</t>
  </si>
  <si>
    <t>Orientation Schedule - Calendar invitation generated.</t>
  </si>
  <si>
    <t>1. Set up preconditions: User account exists and is authenticated where applicable.
2. Perform the action described: "Calendar invitation generated."
3. Observe system behaviour.</t>
  </si>
  <si>
    <t>System behaves exactly as specified: Calendar invitation generated.</t>
  </si>
  <si>
    <t>TC-0570</t>
  </si>
  <si>
    <t>Orientation Schedule - Reminder notification sent.</t>
  </si>
  <si>
    <t>1. Set up preconditions: User account exists and is authenticated where applicable.
2. Perform the action described: "Reminder notification sent."
3. Observe system behaviour.</t>
  </si>
  <si>
    <t>System behaves exactly as specified: Reminder notification sent.</t>
  </si>
  <si>
    <t>TC-0571</t>
  </si>
  <si>
    <t>Orientation Schedule - Access denied for unauthorized role (Super Admin)</t>
  </si>
  <si>
    <t>1. Log in as Super Admin.
2. Attempt to access/perform: "Orientation Schedule".</t>
  </si>
  <si>
    <t>TC-0572</t>
  </si>
  <si>
    <t>Orientation Schedule - Access denied for unauthorized role (Recruiter)</t>
  </si>
  <si>
    <t>1. Log in as Recruiter.
2. Attempt to access/perform: "Orientation Schedule".</t>
  </si>
  <si>
    <t>TC-0573</t>
  </si>
  <si>
    <t>Orientation Schedule - Access denied for unauthorized role (Candidate)</t>
  </si>
  <si>
    <t>1. Log in as Candidate.
2. Attempt to access/perform: "Orientation Schedule".</t>
  </si>
  <si>
    <t>TC-0574</t>
  </si>
  <si>
    <t>Onboarding Notifications - In-app notifications.</t>
  </si>
  <si>
    <t>1. Set up preconditions: User account exists and is authenticated where applicable.
2. Perform the action described: "In-app notifications."
3. Observe system behaviour.</t>
  </si>
  <si>
    <t>System behaves exactly as specified: In-app notifications.</t>
  </si>
  <si>
    <t>TC-0575</t>
  </si>
  <si>
    <t>Onboarding Notifications - Email notifications.</t>
  </si>
  <si>
    <t>1. Set up preconditions: User account exists and is authenticated where applicable.
2. Perform the action described: "Email notifications."
3. Observe system behaviour.</t>
  </si>
  <si>
    <t>System behaves exactly as specified: Email notifications.</t>
  </si>
  <si>
    <t>TC-0576</t>
  </si>
  <si>
    <t>Onboarding Notifications - Notification history maintained.</t>
  </si>
  <si>
    <t>1. Set up preconditions: User account exists and is authenticated where applicable.
2. Perform the action described: "Notification history maintained."
3. Observe system behaviour.</t>
  </si>
  <si>
    <t>System behaves exactly as specified: Notification history maintained.</t>
  </si>
  <si>
    <t>TC-0577</t>
  </si>
  <si>
    <t>Onboarding Notifications - Access denied for unauthorized role (Super Admin)</t>
  </si>
  <si>
    <t>1. Log in as Super Admin.
2. Attempt to access/perform: "Onboarding Notifications".</t>
  </si>
  <si>
    <t>TC-0578</t>
  </si>
  <si>
    <t>Onboarding Notifications - Access denied for unauthorized role (Recruiter)</t>
  </si>
  <si>
    <t>1. Log in as Recruiter.
2. Attempt to access/perform: "Onboarding Notifications".</t>
  </si>
  <si>
    <t>TC-0579</t>
  </si>
  <si>
    <t>Onboarding Notifications - Access denied for unauthorized role (Candidate)</t>
  </si>
  <si>
    <t>1. Log in as Candidate.
2. Attempt to access/perform: "Onboarding Notifications".</t>
  </si>
  <si>
    <t>TC-0580</t>
  </si>
  <si>
    <t>Onboarding Timeline - Timeline ordered chronologically.</t>
  </si>
  <si>
    <t>1. Set up preconditions: User account exists and is authenticated where applicable.
2. Perform the action described: "Timeline ordered chronologically."
3. Observe system behaviour.</t>
  </si>
  <si>
    <t>System behaves exactly as specified: Timeline ordered chronologically.</t>
  </si>
  <si>
    <t>TC-0581</t>
  </si>
  <si>
    <t>Onboarding Timeline - Filters available.</t>
  </si>
  <si>
    <t>1. Set up preconditions: User account exists and is authenticated where applicable.
2. Perform the action described: "Filters available."
3. Observe system behaviour.</t>
  </si>
  <si>
    <t>System behaves exactly as specified: Filters available.</t>
  </si>
  <si>
    <t>TC-0582</t>
  </si>
  <si>
    <t>Onboarding Timeline - Timestamps displayed.</t>
  </si>
  <si>
    <t>1. Set up preconditions: User account exists and is authenticated where applicable.
2. Perform the action described: "Timestamps displayed."
3. Observe system behaviour.</t>
  </si>
  <si>
    <t>System behaves exactly as specified: Timestamps displayed.</t>
  </si>
  <si>
    <t>TC-0583</t>
  </si>
  <si>
    <t>Onboarding Timeline - Access denied for unauthorized role (Super Admin)</t>
  </si>
  <si>
    <t>1. Log in as Super Admin.
2. Attempt to access/perform: "Onboarding Timeline".</t>
  </si>
  <si>
    <t>TC-0584</t>
  </si>
  <si>
    <t>Onboarding Timeline - Access denied for unauthorized role (Recruiter)</t>
  </si>
  <si>
    <t>1. Log in as Recruiter.
2. Attempt to access/perform: "Onboarding Timeline".</t>
  </si>
  <si>
    <t>TC-0585</t>
  </si>
  <si>
    <t>Onboarding Timeline - Access denied for unauthorized role (Candidate)</t>
  </si>
  <si>
    <t>1. Log in as Candidate.
2. Attempt to access/perform: "Onboarding Timeline".</t>
  </si>
  <si>
    <t>TC-0586</t>
  </si>
  <si>
    <t>Assign Initial Learning - Learning assigned automatically.</t>
  </si>
  <si>
    <t>1. Set up preconditions: User account exists and is authenticated where applicable.
2. Perform the action described: "Learning assigned automatically."
3. Observe system behaviour.</t>
  </si>
  <si>
    <t>System behaves exactly as specified: Learning assigned automatically.</t>
  </si>
  <si>
    <t>TC-0587</t>
  </si>
  <si>
    <t>Assign Initial Learning - Candidate notified.</t>
  </si>
  <si>
    <t>TC-0588</t>
  </si>
  <si>
    <t>Assign Initial Learning - Due date generated.</t>
  </si>
  <si>
    <t>1. Set up preconditions: User account exists and is authenticated where applicable.
2. Perform the action described: "Due date generated."
3. Observe system behaviour.</t>
  </si>
  <si>
    <t>System behaves exactly as specified: Due date generated.</t>
  </si>
  <si>
    <t>TC-0589</t>
  </si>
  <si>
    <t>Assign Initial Learning - Progress tracked.</t>
  </si>
  <si>
    <t>1. Set up preconditions: User account exists and is authenticated where applicable.
2. Perform the action described: "Progress tracked."
3. Observe system behaviour.</t>
  </si>
  <si>
    <t>System behaves exactly as specified: Progress tracked.</t>
  </si>
  <si>
    <t>TC-0590</t>
  </si>
  <si>
    <t>Assign Initial Learning - Access denied for unauthorized role (Super Admin)</t>
  </si>
  <si>
    <t>1. Log in as Super Admin.
2. Attempt to access/perform: "Assign Initial Learning".</t>
  </si>
  <si>
    <t>TC-0591</t>
  </si>
  <si>
    <t>Assign Initial Learning - Access denied for unauthorized role (Recruiter)</t>
  </si>
  <si>
    <t>1. Log in as Recruiter.
2. Attempt to access/perform: "Assign Initial Learning".</t>
  </si>
  <si>
    <t>TC-0592</t>
  </si>
  <si>
    <t>Assign Initial Learning - Access denied for unauthorized role (Candidate)</t>
  </si>
  <si>
    <t>1. Log in as Candidate.
2. Attempt to access/perform: "Assign Initial Learning".</t>
  </si>
  <si>
    <t>TC-0593</t>
  </si>
  <si>
    <t>Assign Initial Learning - Prevents duplicate submission on repeated/rapid clicks</t>
  </si>
  <si>
    <t>TC-0594</t>
  </si>
  <si>
    <t>Complete Onboarding - Validation performed.</t>
  </si>
  <si>
    <t>1. Set up preconditions: User account exists and is authenticated where applicable.
2. Perform the action described: "Validation performed."
3. Observe system behaviour.</t>
  </si>
  <si>
    <t>System behaves exactly as specified: Validation performed.</t>
  </si>
  <si>
    <t>TC-0595</t>
  </si>
  <si>
    <t>Complete Onboarding - Completion status updated.</t>
  </si>
  <si>
    <t>1. Set up preconditions: User account exists and is authenticated where applicable.
2. Perform the action described: "Completion status updated."
3. Observe system behaviour.</t>
  </si>
  <si>
    <t>System behaves exactly as specified: Completion status updated.</t>
  </si>
  <si>
    <t>TC-0596</t>
  </si>
  <si>
    <t>Complete Onboarding - Completion date stored.</t>
  </si>
  <si>
    <t>1. Set up preconditions: User account exists and is authenticated where applicable.
2. Perform the action described: "Completion date stored."
3. Observe system behaviour.</t>
  </si>
  <si>
    <t>System behaves exactly as specified: Completion date stored.</t>
  </si>
  <si>
    <t>TC-0597</t>
  </si>
  <si>
    <t>Complete Onboarding - Employee notified.</t>
  </si>
  <si>
    <t>1. Set up preconditions: User account exists and is authenticated where applicable.
2. Perform the action described: "Employee notified."
3. Observe system behaviour.</t>
  </si>
  <si>
    <t>System behaves exactly as specified: Employee notified.</t>
  </si>
  <si>
    <t>TC-0598</t>
  </si>
  <si>
    <t>Complete Onboarding - Access denied for unauthorized role (Super Admin)</t>
  </si>
  <si>
    <t>1. Log in as Super Admin.
2. Attempt to access/perform: "Complete Onboarding".</t>
  </si>
  <si>
    <t>TC-0599</t>
  </si>
  <si>
    <t>Complete Onboarding - Access denied for unauthorized role (Recruiter)</t>
  </si>
  <si>
    <t>1. Log in as Recruiter.
2. Attempt to access/perform: "Complete Onboarding".</t>
  </si>
  <si>
    <t>TC-0600</t>
  </si>
  <si>
    <t>Complete Onboarding - Access denied for unauthorized role (Candidate)</t>
  </si>
  <si>
    <t>1. Log in as Candidate.
2. Attempt to access/perform: "Complete Onboarding".</t>
  </si>
  <si>
    <t>TC-0601</t>
  </si>
  <si>
    <t>Activate Employee Account - Account status changed to Active.</t>
  </si>
  <si>
    <t>1. Set up preconditions: User account exists and is authenticated where applicable.
2. Perform the action described: "Account status changed to Active."
3. Observe system behaviour.</t>
  </si>
  <si>
    <t>System behaves exactly as specified: Account status changed to Active.</t>
  </si>
  <si>
    <t>TC-0602</t>
  </si>
  <si>
    <t>Activate Employee Account - Access permissions updated.</t>
  </si>
  <si>
    <t>1. Set up preconditions: User account exists and is authenticated where applicable.
2. Perform the action described: "Access permissions updated."
3. Observe system behaviour.</t>
  </si>
  <si>
    <t>System behaves exactly as specified: Access permissions updated.</t>
  </si>
  <si>
    <t>TC-0603</t>
  </si>
  <si>
    <t>Activate Employee Account - Dashboard refreshed.</t>
  </si>
  <si>
    <t>1. Set up preconditions: User account exists and is authenticated where applicable.
2. Perform the action described: "Dashboard refreshed."
3. Observe system behaviour.</t>
  </si>
  <si>
    <t>System behaves exactly as specified: Dashboard refreshed.</t>
  </si>
  <si>
    <t>TC-0604</t>
  </si>
  <si>
    <t>Activate Employee Account - Welcome notification sent.</t>
  </si>
  <si>
    <t>1. Set up preconditions: User account exists and is authenticated where applicable.
2. Perform the action described: "Welcome notification sent."
3. Observe system behaviour.</t>
  </si>
  <si>
    <t>System behaves exactly as specified: Welcome notification sent.</t>
  </si>
  <si>
    <t>TC-0605</t>
  </si>
  <si>
    <t>Activate Employee Account - Audit log created.</t>
  </si>
  <si>
    <t>1. Set up preconditions: User account exists and is authenticated where applicable.
2. Perform the action described: "Audit log created."
3. Observe system behaviour.</t>
  </si>
  <si>
    <t>TC-0606</t>
  </si>
  <si>
    <t>Activate Employee Account - API 'POST /api/employees/activate' returns success for valid authorized request</t>
  </si>
  <si>
    <t>1. Obtain a valid authentication token for role 'User'.
2. Send request: POST /api/employees/activate with valid payload/parameters.
3. Inspect the response.</t>
  </si>
  <si>
    <t>TC-0607</t>
  </si>
  <si>
    <t>Activate Employee Account - API 'POST /api/employees/activate' rejects unauthorized/unauthenticated request</t>
  </si>
  <si>
    <t>1. Send request: POST /api/employees/activate without a valid authentication token.
2. Inspect the response.</t>
  </si>
  <si>
    <t>TC-0608</t>
  </si>
  <si>
    <t>Activate Employee Account - API 'POST /api/employees/activate' handles invalid/malformed payload</t>
  </si>
  <si>
    <t>1. Obtain a valid authentication token for role 'User'.
2. Send request: POST /api/employees/activate with missing required fields or malformed JSON.
3. Inspect the response.</t>
  </si>
  <si>
    <t>TC-0609</t>
  </si>
  <si>
    <t>Activate Employee Account - API 'POST /api/employees/activate' handles non-existent resource gracefully</t>
  </si>
  <si>
    <t>1. Obtain a valid authentication token for role 'User'.
2. Send request: POST /api/employees/activate referencing an ID that does not exist.
3. Inspect the response.</t>
  </si>
  <si>
    <t>TC-0610</t>
  </si>
  <si>
    <t>Activate Employee Account - Access denied for unauthorized role (Super Admin)</t>
  </si>
  <si>
    <t>1. Log in as Super Admin.
2. Attempt to access/perform: "Activate Employee Account".</t>
  </si>
  <si>
    <t>TC-0611</t>
  </si>
  <si>
    <t>Activate Employee Account - Access denied for unauthorized role (Recruiter)</t>
  </si>
  <si>
    <t>1. Log in as Recruiter.
2. Attempt to access/perform: "Activate Employee Account".</t>
  </si>
  <si>
    <t>TC-0612</t>
  </si>
  <si>
    <t>Activate Employee Account - Access denied for unauthorized role (Candidate)</t>
  </si>
  <si>
    <t>1. Log in as Candidate.
2. Attempt to access/perform: "Activate Employee Account".</t>
  </si>
  <si>
    <t>TC-0613</t>
  </si>
  <si>
    <t>Course Catalog - Course catalog loads successfully.</t>
  </si>
  <si>
    <t>Candidate (Employee) account exists and is authenticated where applicable.</t>
  </si>
  <si>
    <t>1. Set up preconditions: Candidate (Employee) account exists and is authenticated where applicable.
2. Perform the action described: "Course catalog loads successfully."
3. Observe system behaviour.</t>
  </si>
  <si>
    <t>System behaves exactly as specified: Course catalog loads successfully.</t>
  </si>
  <si>
    <t>TC-0614</t>
  </si>
  <si>
    <t>Course Catalog - Search by title supported.</t>
  </si>
  <si>
    <t>1. Set up preconditions: Candidate (Employee) account exists and is authenticated where applicable.
2. Perform the action described: "Search by title supported."
3. Observe system behaviour.</t>
  </si>
  <si>
    <t>System behaves exactly as specified: Search by title supported.</t>
  </si>
  <si>
    <t>TC-0615</t>
  </si>
  <si>
    <t>Course Catalog - Filters available.</t>
  </si>
  <si>
    <t>1. Set up preconditions: Candidate (Employee) account exists and is authenticated where applicable.
2. Perform the action described: "Filters available."
3. Observe system behaviour.</t>
  </si>
  <si>
    <t>TC-0616</t>
  </si>
  <si>
    <t>Course Catalog - Course details visible.</t>
  </si>
  <si>
    <t>1. Set up preconditions: Candidate (Employee) account exists and is authenticated where applicable.
2. Perform the action described: "Course details visible."
3. Observe system behaviour.</t>
  </si>
  <si>
    <t>System behaves exactly as specified: Course details visible.</t>
  </si>
  <si>
    <t>TC-0617</t>
  </si>
  <si>
    <t>Course Catalog - Pagination implemented.</t>
  </si>
  <si>
    <t>1. Set up preconditions: Candidate (Employee) account exists and is authenticated where applicable.
2. Perform the action described: "Pagination implemented."
3. Observe system behaviour.</t>
  </si>
  <si>
    <t>System behaves exactly as specified: Pagination implemented.</t>
  </si>
  <si>
    <t>TC-0618</t>
  </si>
  <si>
    <t>Course Catalog - Business rule enforcement: Only active courses displayed.</t>
  </si>
  <si>
    <t>1. Candidate (Employee) account exists and is authenticated where applicable.
2. Perform an action that would violate the rule: "Only active courses displayed."
3. Submit / confirm the action.</t>
  </si>
  <si>
    <t>System enforces business rule and prevents violation: Only active courses displayed.</t>
  </si>
  <si>
    <t>TC-0619</t>
  </si>
  <si>
    <t>Course Catalog - Business rule enforcement: Employees only see courses assigned to their organization.</t>
  </si>
  <si>
    <t>1. Candidate (Employee) account exists and is authenticated where applicable.
2. Perform an action that would violate the rule: "Employees only see courses assigned to their organization."
3. Submit / confirm the action.</t>
  </si>
  <si>
    <t>System enforces business rule and prevents violation: Employees only see courses assigned to their organization.</t>
  </si>
  <si>
    <t>TC-0620</t>
  </si>
  <si>
    <t>Course Catalog - Field validation for 'Search Bar' left empty</t>
  </si>
  <si>
    <t>1. Candidate (Employee) account exists and is authenticated where applicable.
2. Leave the 'Search Bar' field empty.
3. Attempt to submit the form.</t>
  </si>
  <si>
    <t>System displays a mandatory field error for 'Search Bar' and blocks submission if the field is required.</t>
  </si>
  <si>
    <t>TC-0621</t>
  </si>
  <si>
    <t>Course Catalog - Field validation for 'Category Filter' left empty</t>
  </si>
  <si>
    <t>1. Candidate (Employee) account exists and is authenticated where applicable.
2. Leave the 'Category Filter' field empty.
3. Attempt to submit the form.</t>
  </si>
  <si>
    <t>System displays a mandatory field error for 'Category Filter' and blocks submission if the field is required.</t>
  </si>
  <si>
    <t>TC-0622</t>
  </si>
  <si>
    <t>Course Catalog - Field validation for 'Course Cards' left empty</t>
  </si>
  <si>
    <t>1. Candidate (Employee) account exists and is authenticated where applicable.
2. Leave the 'Course Cards' field empty.
3. Attempt to submit the form.</t>
  </si>
  <si>
    <t>System displays a mandatory field error for 'Course Cards' and blocks submission if the field is required.</t>
  </si>
  <si>
    <t>TC-0623</t>
  </si>
  <si>
    <t>Course Catalog - Field validation for 'Pagination' left empty</t>
  </si>
  <si>
    <t>1. Candidate (Employee) account exists and is authenticated where applicable.
2. Leave the 'Pagination' field empty.
3. Attempt to submit the form.</t>
  </si>
  <si>
    <t>System displays a mandatory field error for 'Pagination' and blocks submission if the field is required.</t>
  </si>
  <si>
    <t>TC-0624</t>
  </si>
  <si>
    <t>Course Catalog - Field validation for 'Sort Dropdown' left empty</t>
  </si>
  <si>
    <t>1. Candidate (Employee) account exists and is authenticated where applicable.
2. Leave the 'Sort Dropdown' field empty.
3. Attempt to submit the form.</t>
  </si>
  <si>
    <t>System displays a mandatory field error for 'Sort Dropdown' and blocks submission if the field is required.</t>
  </si>
  <si>
    <t>TC-0625</t>
  </si>
  <si>
    <t>Course Catalog - API 'GET /api/learning/courses' returns success for valid authorized request</t>
  </si>
  <si>
    <t>1. Obtain a valid authentication token for role 'Candidate (Employee)'.
2. Send request: GET /api/learning/courses with valid payload/parameters.
3. Inspect the response.</t>
  </si>
  <si>
    <t>TC-0626</t>
  </si>
  <si>
    <t>Course Catalog - API 'GET /api/learning/courses' rejects unauthorized/unauthenticated request</t>
  </si>
  <si>
    <t>1. Send request: GET /api/learning/courses without a valid authentication token.
2. Inspect the response.</t>
  </si>
  <si>
    <t>TC-0627</t>
  </si>
  <si>
    <t>Course Catalog - API 'GET /api/learning/courses' handles invalid/malformed payload</t>
  </si>
  <si>
    <t>1. Obtain a valid authentication token for role 'Candidate (Employee)'.
2. Send request: GET /api/learning/courses with missing required fields or malformed JSON.
3. Inspect the response.</t>
  </si>
  <si>
    <t>TC-0628</t>
  </si>
  <si>
    <t>Course Catalog - API 'GET /api/learning/courses' handles non-existent resource gracefully</t>
  </si>
  <si>
    <t>1. Obtain a valid authentication token for role 'Candidate (Employee)'.
2. Send request: GET /api/learning/courses referencing an ID that does not exist.
3. Inspect the response.</t>
  </si>
  <si>
    <t>TC-0629</t>
  </si>
  <si>
    <t>Course Catalog - Access denied for unauthorized role (Super Admin)</t>
  </si>
  <si>
    <t>1. Log in as Super Admin.
2. Attempt to access/perform: "Course Catalog".</t>
  </si>
  <si>
    <t>System denies access (HTTP 403 / hidden UI) since this feature is restricted to the 'Candidate (Employee)' role.</t>
  </si>
  <si>
    <t>TC-0630</t>
  </si>
  <si>
    <t>Course Catalog - Access denied for unauthorized role (Recruiter)</t>
  </si>
  <si>
    <t>1. Log in as Recruiter.
2. Attempt to access/perform: "Course Catalog".</t>
  </si>
  <si>
    <t>TC-0631</t>
  </si>
  <si>
    <t>Course Catalog - Access denied for unauthorized role (Candidate)</t>
  </si>
  <si>
    <t>1. Log in as Candidate.
2. Attempt to access/perform: "Course Catalog".</t>
  </si>
  <si>
    <t>TC-0632</t>
  </si>
  <si>
    <t>Course Catalog - Displays correctly when no data is available</t>
  </si>
  <si>
    <t>1. Candidate (Employee) account exists and is authenticated where applicable.
2. Ensure there is no underlying data (empty dataset).
3. Open the screen.</t>
  </si>
  <si>
    <t>TC-0633</t>
  </si>
  <si>
    <t>Course Catalog - Handles large dataset with pagination correctly</t>
  </si>
  <si>
    <t>1. Candidate (Employee) account exists and is authenticated where applicable.
2. Ensure the dataset contains a large number of records (e.g. 500+).
3. Load the screen and navigate through pages.</t>
  </si>
  <si>
    <t>TC-0634</t>
  </si>
  <si>
    <t>Course Details - Course details displayed.</t>
  </si>
  <si>
    <t>1. Set up preconditions: User account exists and is authenticated where applicable.
2. Perform the action described: "Course details displayed."
3. Observe system behaviour.</t>
  </si>
  <si>
    <t>System behaves exactly as specified: Course details displayed.</t>
  </si>
  <si>
    <t>TC-0635</t>
  </si>
  <si>
    <t>Course Details - Learning outcomes visible.</t>
  </si>
  <si>
    <t>1. Set up preconditions: User account exists and is authenticated where applicable.
2. Perform the action described: "Learning outcomes visible."
3. Observe system behaviour.</t>
  </si>
  <si>
    <t>System behaves exactly as specified: Learning outcomes visible.</t>
  </si>
  <si>
    <t>TC-0636</t>
  </si>
  <si>
    <t>Course Details - Enrollment button available.</t>
  </si>
  <si>
    <t>1. Set up preconditions: User account exists and is authenticated where applicable.
2. Perform the action described: "Enrollment button available."
3. Observe system behaviour.</t>
  </si>
  <si>
    <t>System behaves exactly as specified: Enrollment button available.</t>
  </si>
  <si>
    <t>TC-0637</t>
  </si>
  <si>
    <t>Course Details - Access denied for unauthorized role (Super Admin)</t>
  </si>
  <si>
    <t>1. Log in as Super Admin.
2. Attempt to access/perform: "Course Details".</t>
  </si>
  <si>
    <t>TC-0638</t>
  </si>
  <si>
    <t>Course Details - Access denied for unauthorized role (Recruiter)</t>
  </si>
  <si>
    <t>1. Log in as Recruiter.
2. Attempt to access/perform: "Course Details".</t>
  </si>
  <si>
    <t>TC-0639</t>
  </si>
  <si>
    <t>Course Details - Access denied for unauthorized role (Candidate)</t>
  </si>
  <si>
    <t>1. Log in as Candidate.
2. Attempt to access/perform: "Course Details".</t>
  </si>
  <si>
    <t>TC-0640</t>
  </si>
  <si>
    <t>Course Enrollment - Enrollment successful.</t>
  </si>
  <si>
    <t>1. Set up preconditions: User account exists and is authenticated where applicable.
2. Perform the action described: "Enrollment successful."
3. Observe system behaviour.</t>
  </si>
  <si>
    <t>System behaves exactly as specified: Enrollment successful.</t>
  </si>
  <si>
    <t>TC-0641</t>
  </si>
  <si>
    <t>Course Enrollment - Duplicate enrollment prevented.</t>
  </si>
  <si>
    <t>1. Set up preconditions: User account exists and is authenticated where applicable.
2. Perform the action described: "Duplicate enrollment prevented."
3. Observe system behaviour.</t>
  </si>
  <si>
    <t>System behaves exactly as specified: Duplicate enrollment prevented.</t>
  </si>
  <si>
    <t>TC-0642</t>
  </si>
  <si>
    <t>Course Enrollment - Learning dashboard updated.</t>
  </si>
  <si>
    <t>1. Set up preconditions: User account exists and is authenticated where applicable.
2. Perform the action described: "Learning dashboard updated."
3. Observe system behaviour.</t>
  </si>
  <si>
    <t>System behaves exactly as specified: Learning dashboard updated.</t>
  </si>
  <si>
    <t>TC-0643</t>
  </si>
  <si>
    <t>Course Enrollment - API 'POST /api/learning/enroll' returns success for valid authorized request</t>
  </si>
  <si>
    <t>1. Obtain a valid authentication token for role 'User'.
2. Send request: POST /api/learning/enroll with valid payload/parameters.
3. Inspect the response.</t>
  </si>
  <si>
    <t>TC-0644</t>
  </si>
  <si>
    <t>Course Enrollment - API 'POST /api/learning/enroll' rejects unauthorized/unauthenticated request</t>
  </si>
  <si>
    <t>1. Send request: POST /api/learning/enroll without a valid authentication token.
2. Inspect the response.</t>
  </si>
  <si>
    <t>TC-0645</t>
  </si>
  <si>
    <t>Course Enrollment - API 'POST /api/learning/enroll' handles invalid/malformed payload</t>
  </si>
  <si>
    <t>1. Obtain a valid authentication token for role 'User'.
2. Send request: POST /api/learning/enroll with missing required fields or malformed JSON.
3. Inspect the response.</t>
  </si>
  <si>
    <t>TC-0646</t>
  </si>
  <si>
    <t>Course Enrollment - API 'POST /api/learning/enroll' handles non-existent resource gracefully</t>
  </si>
  <si>
    <t>1. Obtain a valid authentication token for role 'User'.
2. Send request: POST /api/learning/enroll referencing an ID that does not exist.
3. Inspect the response.</t>
  </si>
  <si>
    <t>TC-0647</t>
  </si>
  <si>
    <t>Course Enrollment - Access denied for unauthorized role (Super Admin)</t>
  </si>
  <si>
    <t>1. Log in as Super Admin.
2. Attempt to access/perform: "Course Enrollment".</t>
  </si>
  <si>
    <t>TC-0648</t>
  </si>
  <si>
    <t>Course Enrollment - Access denied for unauthorized role (Recruiter)</t>
  </si>
  <si>
    <t>1. Log in as Recruiter.
2. Attempt to access/perform: "Course Enrollment".</t>
  </si>
  <si>
    <t>TC-0649</t>
  </si>
  <si>
    <t>Course Enrollment - Access denied for unauthorized role (Candidate)</t>
  </si>
  <si>
    <t>1. Log in as Candidate.
2. Attempt to access/perform: "Course Enrollment".</t>
  </si>
  <si>
    <t>TC-0650</t>
  </si>
  <si>
    <t>Course Enrollment - Prevents duplicate submission on repeated/rapid clicks</t>
  </si>
  <si>
    <t>TC-0651</t>
  </si>
  <si>
    <t>Assigned Learning - Multiple employees supported.</t>
  </si>
  <si>
    <t>1. Set up preconditions: User account exists and is authenticated where applicable.
2. Perform the action described: "Multiple employees supported."
3. Observe system behaviour.</t>
  </si>
  <si>
    <t>System behaves exactly as specified: Multiple employees supported.</t>
  </si>
  <si>
    <t>TC-0652</t>
  </si>
  <si>
    <t>Assigned Learning - Due dates generated.</t>
  </si>
  <si>
    <t>1. Set up preconditions: User account exists and is authenticated where applicable.
2. Perform the action described: "Due dates generated."
3. Observe system behaviour.</t>
  </si>
  <si>
    <t>TC-0653</t>
  </si>
  <si>
    <t>Assigned Learning - Notifications sent.</t>
  </si>
  <si>
    <t>1. Set up preconditions: User account exists and is authenticated where applicable.
2. Perform the action described: "Notifications sent."
3. Observe system behaviour.</t>
  </si>
  <si>
    <t>System behaves exactly as specified: Notifications sent.</t>
  </si>
  <si>
    <t>TC-0654</t>
  </si>
  <si>
    <t>Assigned Learning - Access denied for unauthorized role (Super Admin)</t>
  </si>
  <si>
    <t>1. Log in as Super Admin.
2. Attempt to access/perform: "Assigned Learning".</t>
  </si>
  <si>
    <t>TC-0655</t>
  </si>
  <si>
    <t>Assigned Learning - Access denied for unauthorized role (Recruiter)</t>
  </si>
  <si>
    <t>1. Log in as Recruiter.
2. Attempt to access/perform: "Assigned Learning".</t>
  </si>
  <si>
    <t>TC-0656</t>
  </si>
  <si>
    <t>Assigned Learning - Access denied for unauthorized role (Candidate)</t>
  </si>
  <si>
    <t>1. Log in as Candidate.
2. Attempt to access/perform: "Assigned Learning".</t>
  </si>
  <si>
    <t>TC-0657</t>
  </si>
  <si>
    <t>Assigned Learning - Prevents duplicate submission on repeated/rapid clicks</t>
  </si>
  <si>
    <t>TC-0658</t>
  </si>
  <si>
    <t>Learning Dashboard - Dashboard loads.</t>
  </si>
  <si>
    <t>1. Set up preconditions: User account exists and is authenticated where applicable.
2. Perform the action described: "Dashboard loads."
3. Observe system behaviour.</t>
  </si>
  <si>
    <t>System behaves exactly as specified: Dashboard loads.</t>
  </si>
  <si>
    <t>TC-0659</t>
  </si>
  <si>
    <t>Learning Dashboard - Progress updates automatically.</t>
  </si>
  <si>
    <t>1. Set up preconditions: User account exists and is authenticated where applicable.
2. Perform the action described: "Progress updates automatically."
3. Observe system behaviour.</t>
  </si>
  <si>
    <t>System behaves exactly as specified: Progress updates automatically.</t>
  </si>
  <si>
    <t>TC-0660</t>
  </si>
  <si>
    <t>Learning Dashboard - Completed courses separated.</t>
  </si>
  <si>
    <t>1. Set up preconditions: User account exists and is authenticated where applicable.
2. Perform the action described: "Completed courses separated."
3. Observe system behaviour.</t>
  </si>
  <si>
    <t>System behaves exactly as specified: Completed courses separated.</t>
  </si>
  <si>
    <t>TC-0661</t>
  </si>
  <si>
    <t>Learning Dashboard - Access denied for unauthorized role (Super Admin)</t>
  </si>
  <si>
    <t>1. Log in as Super Admin.
2. Attempt to access/perform: "Learning Dashboard".</t>
  </si>
  <si>
    <t>TC-0662</t>
  </si>
  <si>
    <t>Learning Dashboard - Access denied for unauthorized role (Recruiter)</t>
  </si>
  <si>
    <t>1. Log in as Recruiter.
2. Attempt to access/perform: "Learning Dashboard".</t>
  </si>
  <si>
    <t>TC-0663</t>
  </si>
  <si>
    <t>Learning Dashboard - Access denied for unauthorized role (Candidate)</t>
  </si>
  <si>
    <t>1. Log in as Candidate.
2. Attempt to access/perform: "Learning Dashboard".</t>
  </si>
  <si>
    <t>TC-0664</t>
  </si>
  <si>
    <t>Learning Dashboard - Displays correctly when no data is available</t>
  </si>
  <si>
    <t>TC-0665</t>
  </si>
  <si>
    <t>Learning Dashboard - Handles large dataset with pagination correctly</t>
  </si>
  <si>
    <t>TC-0666</t>
  </si>
  <si>
    <t>Course Player - Videos stream correctly.</t>
  </si>
  <si>
    <t>1. Set up preconditions: User account exists and is authenticated where applicable.
2. Perform the action described: "Videos stream correctly."
3. Observe system behaviour.</t>
  </si>
  <si>
    <t>System behaves exactly as specified: Videos stream correctly.</t>
  </si>
  <si>
    <t>TC-0667</t>
  </si>
  <si>
    <t>Course Player - Documents open.</t>
  </si>
  <si>
    <t>1. Set up preconditions: User account exists and is authenticated where applicable.
2. Perform the action described: "Documents open."
3. Observe system behaviour.</t>
  </si>
  <si>
    <t>System behaves exactly as specified: Documents open.</t>
  </si>
  <si>
    <t>TC-0668</t>
  </si>
  <si>
    <t>Course Player - Resume playback supported.</t>
  </si>
  <si>
    <t>1. Set up preconditions: User account exists and is authenticated where applicable.
2. Perform the action described: "Resume playback supported."
3. Observe system behaviour.</t>
  </si>
  <si>
    <t>System behaves exactly as specified: Resume playback supported.</t>
  </si>
  <si>
    <t>TC-0669</t>
  </si>
  <si>
    <t>Course Player - Access denied for unauthorized role (Super Admin)</t>
  </si>
  <si>
    <t>1. Log in as Super Admin.
2. Attempt to access/perform: "Course Player".</t>
  </si>
  <si>
    <t>TC-0670</t>
  </si>
  <si>
    <t>Course Player - Access denied for unauthorized role (Recruiter)</t>
  </si>
  <si>
    <t>1. Log in as Recruiter.
2. Attempt to access/perform: "Course Player".</t>
  </si>
  <si>
    <t>TC-0671</t>
  </si>
  <si>
    <t>Course Player - Access denied for unauthorized role (Candidate)</t>
  </si>
  <si>
    <t>1. Log in as Candidate.
2. Attempt to access/perform: "Course Player".</t>
  </si>
  <si>
    <t>TC-0672</t>
  </si>
  <si>
    <t>Learning Progress Tracking - Progress saved automatically.</t>
  </si>
  <si>
    <t>1. Set up preconditions: User account exists and is authenticated where applicable.
2. Perform the action described: "Progress saved automatically."
3. Observe system behaviour.</t>
  </si>
  <si>
    <t>System behaves exactly as specified: Progress saved automatically.</t>
  </si>
  <si>
    <t>TC-0673</t>
  </si>
  <si>
    <t>Learning Progress Tracking - Resume from last position.</t>
  </si>
  <si>
    <t>1. Set up preconditions: User account exists and is authenticated where applicable.
2. Perform the action described: "Resume from last position."
3. Observe system behaviour.</t>
  </si>
  <si>
    <t>System behaves exactly as specified: Resume from last position.</t>
  </si>
  <si>
    <t>TC-0674</t>
  </si>
  <si>
    <t>Learning Progress Tracking - Dashboard updated.</t>
  </si>
  <si>
    <t>1. Set up preconditions: User account exists and is authenticated where applicable.
2. Perform the action described: "Dashboard updated."
3. Observe system behaviour.</t>
  </si>
  <si>
    <t>System behaves exactly as specified: Dashboard updated.</t>
  </si>
  <si>
    <t>TC-0675</t>
  </si>
  <si>
    <t>Learning Progress Tracking - Access denied for unauthorized role (Super Admin)</t>
  </si>
  <si>
    <t>1. Log in as Super Admin.
2. Attempt to access/perform: "Learning Progress Tracking".</t>
  </si>
  <si>
    <t>TC-0676</t>
  </si>
  <si>
    <t>Learning Progress Tracking - Access denied for unauthorized role (Recruiter)</t>
  </si>
  <si>
    <t>1. Log in as Recruiter.
2. Attempt to access/perform: "Learning Progress Tracking".</t>
  </si>
  <si>
    <t>TC-0677</t>
  </si>
  <si>
    <t>Learning Progress Tracking - Access denied for unauthorized role (Candidate)</t>
  </si>
  <si>
    <t>1. Log in as Candidate.
2. Attempt to access/perform: "Learning Progress Tracking".</t>
  </si>
  <si>
    <t>TC-0678</t>
  </si>
  <si>
    <t>Quizzes &amp; Assessments - Score calculated.</t>
  </si>
  <si>
    <t>1. Set up preconditions: User account exists and is authenticated where applicable.
2. Perform the action described: "Score calculated."
3. Observe system behaviour.</t>
  </si>
  <si>
    <t>System behaves exactly as specified: Score calculated.</t>
  </si>
  <si>
    <t>TC-0679</t>
  </si>
  <si>
    <t>Quizzes &amp; Assessments - Results shown.</t>
  </si>
  <si>
    <t>1. Set up preconditions: User account exists and is authenticated where applicable.
2. Perform the action described: "Results shown."
3. Observe system behaviour.</t>
  </si>
  <si>
    <t>System behaves exactly as specified: Results shown.</t>
  </si>
  <si>
    <t>TC-0680</t>
  </si>
  <si>
    <t>Quizzes &amp; Assessments - Pass/fail determined.</t>
  </si>
  <si>
    <t>1. Set up preconditions: User account exists and is authenticated where applicable.
2. Perform the action described: "Pass/fail determined."
3. Observe system behaviour.</t>
  </si>
  <si>
    <t>System behaves exactly as specified: Pass/fail determined.</t>
  </si>
  <si>
    <t>TC-0681</t>
  </si>
  <si>
    <t>Quizzes &amp; Assessments - Access denied for unauthorized role (Super Admin)</t>
  </si>
  <si>
    <t>1. Log in as Super Admin.
2. Attempt to access/perform: "Quizzes &amp; Assessments".</t>
  </si>
  <si>
    <t>TC-0682</t>
  </si>
  <si>
    <t>Quizzes &amp; Assessments - Access denied for unauthorized role (Recruiter)</t>
  </si>
  <si>
    <t>1. Log in as Recruiter.
2. Attempt to access/perform: "Quizzes &amp; Assessments".</t>
  </si>
  <si>
    <t>TC-0683</t>
  </si>
  <si>
    <t>Quizzes &amp; Assessments - Access denied for unauthorized role (Candidate)</t>
  </si>
  <si>
    <t>1. Log in as Candidate.
2. Attempt to access/perform: "Quizzes &amp; Assessments".</t>
  </si>
  <si>
    <t>TC-0684</t>
  </si>
  <si>
    <t>Certificates - PDF generated.</t>
  </si>
  <si>
    <t>1. Set up preconditions: User account exists and is authenticated where applicable.
2. Perform the action described: "PDF generated."
3. Observe system behaviour.</t>
  </si>
  <si>
    <t>System behaves exactly as specified: PDF generated.</t>
  </si>
  <si>
    <t>TC-0685</t>
  </si>
  <si>
    <t>Certificates - Download supported.</t>
  </si>
  <si>
    <t>TC-0686</t>
  </si>
  <si>
    <t>Certificates - Certificate stored in employee profile.</t>
  </si>
  <si>
    <t>1. Set up preconditions: User account exists and is authenticated where applicable.
2. Perform the action described: "Certificate stored in employee profile."
3. Observe system behaviour.</t>
  </si>
  <si>
    <t>System behaves exactly as specified: Certificate stored in employee profile.</t>
  </si>
  <si>
    <t>TC-0687</t>
  </si>
  <si>
    <t>Certificates - Access denied for unauthorized role (Super Admin)</t>
  </si>
  <si>
    <t>1. Log in as Super Admin.
2. Attempt to access/perform: "Certificates".</t>
  </si>
  <si>
    <t>TC-0688</t>
  </si>
  <si>
    <t>Certificates - Access denied for unauthorized role (Recruiter)</t>
  </si>
  <si>
    <t>1. Log in as Recruiter.
2. Attempt to access/perform: "Certificates".</t>
  </si>
  <si>
    <t>TC-0689</t>
  </si>
  <si>
    <t>Certificates - Access denied for unauthorized role (Candidate)</t>
  </si>
  <si>
    <t>1. Log in as Candidate.
2. Attempt to access/perform: "Certificates".</t>
  </si>
  <si>
    <t>TC-0690</t>
  </si>
  <si>
    <t>Learning Notifications - Notifications delivered.</t>
  </si>
  <si>
    <t>1. Set up preconditions: User account exists and is authenticated where applicable.
2. Perform the action described: "Notifications delivered."
3. Observe system behaviour.</t>
  </si>
  <si>
    <t>System behaves exactly as specified: Notifications delivered.</t>
  </si>
  <si>
    <t>TC-0691</t>
  </si>
  <si>
    <t>Learning Notifications - Read status maintained.</t>
  </si>
  <si>
    <t>TC-0692</t>
  </si>
  <si>
    <t>Learning Notifications - Access denied for unauthorized role (Super Admin)</t>
  </si>
  <si>
    <t>1. Log in as Super Admin.
2. Attempt to access/perform: "Learning Notifications".</t>
  </si>
  <si>
    <t>TC-0693</t>
  </si>
  <si>
    <t>Learning Notifications - Access denied for unauthorized role (Recruiter)</t>
  </si>
  <si>
    <t>1. Log in as Recruiter.
2. Attempt to access/perform: "Learning Notifications".</t>
  </si>
  <si>
    <t>TC-0694</t>
  </si>
  <si>
    <t>Learning Notifications - Access denied for unauthorized role (Candidate)</t>
  </si>
  <si>
    <t>1. Log in as Candidate.
2. Attempt to access/perform: "Learning Notifications".</t>
  </si>
  <si>
    <t>TC-0695</t>
  </si>
  <si>
    <t>Learning Search - Fuzzy search.</t>
  </si>
  <si>
    <t>1. Set up preconditions: User account exists and is authenticated where applicable.
2. Perform the action described: "Fuzzy search."
3. Observe system behaviour.</t>
  </si>
  <si>
    <t>System behaves exactly as specified: Fuzzy search.</t>
  </si>
  <si>
    <t>TC-0696</t>
  </si>
  <si>
    <t>Learning Search - Instant results.</t>
  </si>
  <si>
    <t>1. Set up preconditions: User account exists and is authenticated where applicable.
2. Perform the action described: "Instant results."
3. Observe system behaviour.</t>
  </si>
  <si>
    <t>System behaves exactly as specified: Instant results.</t>
  </si>
  <si>
    <t>TC-0697</t>
  </si>
  <si>
    <t>Learning Search - Pagination.</t>
  </si>
  <si>
    <t>1. Set up preconditions: User account exists and is authenticated where applicable.
2. Perform the action described: "Pagination."
3. Observe system behaviour.</t>
  </si>
  <si>
    <t>System behaves exactly as specified: Pagination.</t>
  </si>
  <si>
    <t>TC-0698</t>
  </si>
  <si>
    <t>Learning Search - Access denied for unauthorized role (Super Admin)</t>
  </si>
  <si>
    <t>1. Log in as Super Admin.
2. Attempt to access/perform: "Learning Search".</t>
  </si>
  <si>
    <t>TC-0699</t>
  </si>
  <si>
    <t>Learning Search - Access denied for unauthorized role (Recruiter)</t>
  </si>
  <si>
    <t>1. Log in as Recruiter.
2. Attempt to access/perform: "Learning Search".</t>
  </si>
  <si>
    <t>TC-0700</t>
  </si>
  <si>
    <t>Learning Search - Access denied for unauthorized role (Candidate)</t>
  </si>
  <si>
    <t>1. Log in as Candidate.
2. Attempt to access/perform: "Learning Search".</t>
  </si>
  <si>
    <t>TC-0701</t>
  </si>
  <si>
    <t>Learning Search - Displays correctly when no data is available</t>
  </si>
  <si>
    <t>TC-0702</t>
  </si>
  <si>
    <t>Learning Search - Handles large dataset with pagination correctly</t>
  </si>
  <si>
    <t>TC-0703</t>
  </si>
  <si>
    <t>Bookmarks - Bookmark saved.</t>
  </si>
  <si>
    <t>1. Set up preconditions: User account exists and is authenticated where applicable.
2. Perform the action described: "Bookmark saved."
3. Observe system behaviour.</t>
  </si>
  <si>
    <t>System behaves exactly as specified: Bookmark saved.</t>
  </si>
  <si>
    <t>TC-0704</t>
  </si>
  <si>
    <t>Bookmarks - Remove bookmark.</t>
  </si>
  <si>
    <t>1. Set up preconditions: User account exists and is authenticated where applicable.
2. Perform the action described: "Remove bookmark."
3. Observe system behaviour.</t>
  </si>
  <si>
    <t>System behaves exactly as specified: Remove bookmark.</t>
  </si>
  <si>
    <t>TC-0705</t>
  </si>
  <si>
    <t>Bookmarks - Bookmark list displayed.</t>
  </si>
  <si>
    <t>1. Set up preconditions: User account exists and is authenticated where applicable.
2. Perform the action described: "Bookmark list displayed."
3. Observe system behaviour.</t>
  </si>
  <si>
    <t>System behaves exactly as specified: Bookmark list displayed.</t>
  </si>
  <si>
    <t>TC-0706</t>
  </si>
  <si>
    <t>Bookmarks - Access denied for unauthorized role (Super Admin)</t>
  </si>
  <si>
    <t>1. Log in as Super Admin.
2. Attempt to access/perform: "Bookmarks".</t>
  </si>
  <si>
    <t>TC-0707</t>
  </si>
  <si>
    <t>Bookmarks - Access denied for unauthorized role (Recruiter)</t>
  </si>
  <si>
    <t>1. Log in as Recruiter.
2. Attempt to access/perform: "Bookmarks".</t>
  </si>
  <si>
    <t>TC-0708</t>
  </si>
  <si>
    <t>Bookmarks - Access denied for unauthorized role (Candidate)</t>
  </si>
  <si>
    <t>1. Log in as Candidate.
2. Attempt to access/perform: "Bookmarks".</t>
  </si>
  <si>
    <t>TC-0709</t>
  </si>
  <si>
    <t>AI Learning Recommendations - Personalized recommendations generated.</t>
  </si>
  <si>
    <t>1. Set up preconditions: User account exists and is authenticated where applicable.
2. Perform the action described: "Personalized recommendations generated."
3. Observe system behaviour.</t>
  </si>
  <si>
    <t>System behaves exactly as specified: Personalized recommendations generated.</t>
  </si>
  <si>
    <t>TC-0710</t>
  </si>
  <si>
    <t>AI Learning Recommendations - Recommendations refresh periodically.</t>
  </si>
  <si>
    <t>1. Set up preconditions: User account exists and is authenticated where applicable.
2. Perform the action described: "Recommendations refresh periodically."
3. Observe system behaviour.</t>
  </si>
  <si>
    <t>System behaves exactly as specified: Recommendations refresh periodically.</t>
  </si>
  <si>
    <t>TC-0711</t>
  </si>
  <si>
    <t>AI Learning Recommendations - Employees can enroll directly.</t>
  </si>
  <si>
    <t>1. Set up preconditions: User account exists and is authenticated where applicable.
2. Perform the action described: "Employees can enroll directly."
3. Observe system behaviour.</t>
  </si>
  <si>
    <t>System behaves exactly as specified: Employees can enroll directly.</t>
  </si>
  <si>
    <t>TC-0712</t>
  </si>
  <si>
    <t>AI Learning Recommendations - Access denied for unauthorized role (Super Admin)</t>
  </si>
  <si>
    <t>1. Log in as Super Admin.
2. Attempt to access/perform: "AI Learning Recommendations".</t>
  </si>
  <si>
    <t>TC-0713</t>
  </si>
  <si>
    <t>AI Learning Recommendations - Access denied for unauthorized role (Recruiter)</t>
  </si>
  <si>
    <t>1. Log in as Recruiter.
2. Attempt to access/perform: "AI Learning Recommendations".</t>
  </si>
  <si>
    <t>TC-0714</t>
  </si>
  <si>
    <t>AI Learning Recommendations - Access denied for unauthorized role (Candidate)</t>
  </si>
  <si>
    <t>1. Log in as Candidate.
2. Attempt to access/perform: "AI Learning Recommendations".</t>
  </si>
  <si>
    <t>TC-0715</t>
  </si>
  <si>
    <t>Skill Gap Analysis - Skill gaps identified.</t>
  </si>
  <si>
    <t>1. Set up preconditions: User account exists and is authenticated where applicable.
2. Perform the action described: "Skill gaps identified."
3. Observe system behaviour.</t>
  </si>
  <si>
    <t>System behaves exactly as specified: Skill gaps identified.</t>
  </si>
  <si>
    <t>TC-0716</t>
  </si>
  <si>
    <t>Skill Gap Analysis - Courses recommended.</t>
  </si>
  <si>
    <t>1. Set up preconditions: User account exists and is authenticated where applicable.
2. Perform the action described: "Courses recommended."
3. Observe system behaviour.</t>
  </si>
  <si>
    <t>System behaves exactly as specified: Courses recommended.</t>
  </si>
  <si>
    <t>TC-0717</t>
  </si>
  <si>
    <t>Skill Gap Analysis - Report generated.</t>
  </si>
  <si>
    <t>1. Set up preconditions: User account exists and is authenticated where applicable.
2. Perform the action described: "Report generated."
3. Observe system behaviour.</t>
  </si>
  <si>
    <t>System behaves exactly as specified: Report generated.</t>
  </si>
  <si>
    <t>TC-0718</t>
  </si>
  <si>
    <t>Skill Gap Analysis - Access denied for unauthorized role (Super Admin)</t>
  </si>
  <si>
    <t>1. Log in as Super Admin.
2. Attempt to access/perform: "Skill Gap Analysis".</t>
  </si>
  <si>
    <t>TC-0719</t>
  </si>
  <si>
    <t>Skill Gap Analysis - Access denied for unauthorized role (Recruiter)</t>
  </si>
  <si>
    <t>1. Log in as Recruiter.
2. Attempt to access/perform: "Skill Gap Analysis".</t>
  </si>
  <si>
    <t>TC-0720</t>
  </si>
  <si>
    <t>Skill Gap Analysis - Access denied for unauthorized role (Candidate)</t>
  </si>
  <si>
    <t>1. Log in as Candidate.
2. Attempt to access/perform: "Skill Gap Analysis".</t>
  </si>
  <si>
    <t>TC-0721</t>
  </si>
  <si>
    <t>Learning Analytics - Charts displayed.</t>
  </si>
  <si>
    <t>1. Set up preconditions: User account exists and is authenticated where applicable.
2. Perform the action described: "Charts displayed."
3. Observe system behaviour.</t>
  </si>
  <si>
    <t>System behaves exactly as specified: Charts displayed.</t>
  </si>
  <si>
    <t>TC-0722</t>
  </si>
  <si>
    <t>Learning Analytics - Export available.</t>
  </si>
  <si>
    <t>1. Set up preconditions: User account exists and is authenticated where applicable.
2. Perform the action described: "Export available."
3. Observe system behaviour.</t>
  </si>
  <si>
    <t>System behaves exactly as specified: Export available.</t>
  </si>
  <si>
    <t>TC-0723</t>
  </si>
  <si>
    <t>Learning Analytics - Department filter supported.</t>
  </si>
  <si>
    <t>1. Set up preconditions: User account exists and is authenticated where applicable.
2. Perform the action described: "Department filter supported."
3. Observe system behaviour.</t>
  </si>
  <si>
    <t>System behaves exactly as specified: Department filter supported.</t>
  </si>
  <si>
    <t>TC-0724</t>
  </si>
  <si>
    <t>Learning Analytics - Access denied for unauthorized role (Super Admin)</t>
  </si>
  <si>
    <t>1. Log in as Super Admin.
2. Attempt to access/perform: "Learning Analytics".</t>
  </si>
  <si>
    <t>TC-0725</t>
  </si>
  <si>
    <t>Learning Analytics - Access denied for unauthorized role (Recruiter)</t>
  </si>
  <si>
    <t>1. Log in as Recruiter.
2. Attempt to access/perform: "Learning Analytics".</t>
  </si>
  <si>
    <t>TC-0726</t>
  </si>
  <si>
    <t>Learning Analytics - Access denied for unauthorized role (Candidate)</t>
  </si>
  <si>
    <t>1. Log in as Candidate.
2. Attempt to access/perform: "Learning Analytics".</t>
  </si>
  <si>
    <t>TC-0727</t>
  </si>
  <si>
    <t>Learning Analytics - Displays correctly when no data is available</t>
  </si>
  <si>
    <t>TC-0728</t>
  </si>
  <si>
    <t>Learning Analytics - Handles large dataset with pagination correctly</t>
  </si>
  <si>
    <t>TC-0729</t>
  </si>
  <si>
    <t>Performance Dashboard - Dashboard loads successfully.</t>
  </si>
  <si>
    <t>1. Set up preconditions: Candidate (Employee) account exists and is authenticated where applicable.
2. Perform the action described: "Dashboard loads successfully."
3. Observe system behaviour.</t>
  </si>
  <si>
    <t>System behaves exactly as specified: Dashboard loads successfully.</t>
  </si>
  <si>
    <t>TC-0730</t>
  </si>
  <si>
    <t>Performance Dashboard - Current review cycle displayed.</t>
  </si>
  <si>
    <t>1. Set up preconditions: Candidate (Employee) account exists and is authenticated where applicable.
2. Perform the action described: "Current review cycle displayed."
3. Observe system behaviour.</t>
  </si>
  <si>
    <t>System behaves exactly as specified: Current review cycle displayed.</t>
  </si>
  <si>
    <t>TC-0731</t>
  </si>
  <si>
    <t>Performance Dashboard - Goal progress visible.</t>
  </si>
  <si>
    <t>1. Set up preconditions: Candidate (Employee) account exists and is authenticated where applicable.
2. Perform the action described: "Goal progress visible."
3. Observe system behaviour.</t>
  </si>
  <si>
    <t>System behaves exactly as specified: Goal progress visible.</t>
  </si>
  <si>
    <t>TC-0732</t>
  </si>
  <si>
    <t>Performance Dashboard - KPI progress visible.</t>
  </si>
  <si>
    <t>1. Set up preconditions: Candidate (Employee) account exists and is authenticated where applicable.
2. Perform the action described: "KPI progress visible."
3. Observe system behaviour.</t>
  </si>
  <si>
    <t>System behaves exactly as specified: KPI progress visible.</t>
  </si>
  <si>
    <t>TC-0733</t>
  </si>
  <si>
    <t>Performance Dashboard - Recent evaluations displayed.</t>
  </si>
  <si>
    <t>1. Set up preconditions: Candidate (Employee) account exists and is authenticated where applicable.
2. Perform the action described: "Recent evaluations displayed."
3. Observe system behaviour.</t>
  </si>
  <si>
    <t>System behaves exactly as specified: Recent evaluations displayed.</t>
  </si>
  <si>
    <t>TC-0734</t>
  </si>
  <si>
    <t>Performance Dashboard - Performance trend chart displayed.</t>
  </si>
  <si>
    <t>1. Set up preconditions: Candidate (Employee) account exists and is authenticated where applicable.
2. Perform the action described: "Performance trend chart displayed."
3. Observe system behaviour.</t>
  </si>
  <si>
    <t>System behaves exactly as specified: Performance trend chart displayed.</t>
  </si>
  <si>
    <t>TC-0735</t>
  </si>
  <si>
    <t>Performance Dashboard - API 'GET /api/performance/dashboard' returns success for valid authorized request</t>
  </si>
  <si>
    <t>1. Obtain a valid authentication token for role 'Candidate (Employee)'.
2. Send request: GET /api/performance/dashboard with valid payload/parameters.
3. Inspect the response.</t>
  </si>
  <si>
    <t>TC-0736</t>
  </si>
  <si>
    <t>Performance Dashboard - API 'GET /api/performance/dashboard' rejects unauthorized/unauthenticated request</t>
  </si>
  <si>
    <t>1. Send request: GET /api/performance/dashboard without a valid authentication token.
2. Inspect the response.</t>
  </si>
  <si>
    <t>TC-0737</t>
  </si>
  <si>
    <t>Performance Dashboard - API 'GET /api/performance/dashboard' handles invalid/malformed payload</t>
  </si>
  <si>
    <t>1. Obtain a valid authentication token for role 'Candidate (Employee)'.
2. Send request: GET /api/performance/dashboard with missing required fields or malformed JSON.
3. Inspect the response.</t>
  </si>
  <si>
    <t>TC-0738</t>
  </si>
  <si>
    <t>Performance Dashboard - API 'GET /api/performance/dashboard' handles non-existent resource gracefully</t>
  </si>
  <si>
    <t>1. Obtain a valid authentication token for role 'Candidate (Employee)'.
2. Send request: GET /api/performance/dashboard referencing an ID that does not exist.
3. Inspect the response.</t>
  </si>
  <si>
    <t>TC-0739</t>
  </si>
  <si>
    <t>Performance Dashboard - Access denied for unauthorized role (Super Admin)</t>
  </si>
  <si>
    <t>1. Log in as Super Admin.
2. Attempt to access/perform: "Performance Dashboard".</t>
  </si>
  <si>
    <t>TC-0740</t>
  </si>
  <si>
    <t>Performance Dashboard - Access denied for unauthorized role (Recruiter)</t>
  </si>
  <si>
    <t>1. Log in as Recruiter.
2. Attempt to access/perform: "Performance Dashboard".</t>
  </si>
  <si>
    <t>TC-0741</t>
  </si>
  <si>
    <t>Performance Dashboard - Access denied for unauthorized role (Candidate)</t>
  </si>
  <si>
    <t>1. Log in as Candidate.
2. Attempt to access/perform: "Performance Dashboard".</t>
  </si>
  <si>
    <t>TC-0742</t>
  </si>
  <si>
    <t>Performance Dashboard - Displays correctly when no data is available</t>
  </si>
  <si>
    <t>TC-0743</t>
  </si>
  <si>
    <t>Performance Dashboard - Handles large dataset with pagination correctly</t>
  </si>
  <si>
    <t>TC-0744</t>
  </si>
  <si>
    <t>Performance Cycle - Cycle created.</t>
  </si>
  <si>
    <t>1. Set up preconditions: User account exists and is authenticated where applicable.
2. Perform the action described: "Cycle created."
3. Observe system behaviour.</t>
  </si>
  <si>
    <t>System behaves exactly as specified: Cycle created.</t>
  </si>
  <si>
    <t>TC-0745</t>
  </si>
  <si>
    <t>Performance Cycle - Multiple cycles supported.</t>
  </si>
  <si>
    <t>1. Set up preconditions: User account exists and is authenticated where applicable.
2. Perform the action described: "Multiple cycles supported."
3. Observe system behaviour.</t>
  </si>
  <si>
    <t>System behaves exactly as specified: Multiple cycles supported.</t>
  </si>
  <si>
    <t>TC-0746</t>
  </si>
  <si>
    <t>Performance Cycle - Employees assigned.</t>
  </si>
  <si>
    <t>1. Set up preconditions: User account exists and is authenticated where applicable.
2. Perform the action described: "Employees assigned."
3. Observe system behaviour.</t>
  </si>
  <si>
    <t>System behaves exactly as specified: Employees assigned.</t>
  </si>
  <si>
    <t>TC-0747</t>
  </si>
  <si>
    <t>Performance Cycle - Access denied for unauthorized role (Super Admin)</t>
  </si>
  <si>
    <t>1. Log in as Super Admin.
2. Attempt to access/perform: "Performance Cycle".</t>
  </si>
  <si>
    <t>TC-0748</t>
  </si>
  <si>
    <t>Performance Cycle - Access denied for unauthorized role (Recruiter)</t>
  </si>
  <si>
    <t>1. Log in as Recruiter.
2. Attempt to access/perform: "Performance Cycle".</t>
  </si>
  <si>
    <t>TC-0749</t>
  </si>
  <si>
    <t>Performance Cycle - Access denied for unauthorized role (Candidate)</t>
  </si>
  <si>
    <t>1. Log in as Candidate.
2. Attempt to access/perform: "Performance Cycle".</t>
  </si>
  <si>
    <t>TC-0750</t>
  </si>
  <si>
    <t>Goal Creation - Goal assigned.</t>
  </si>
  <si>
    <t>1. Set up preconditions: User account exists and is authenticated where applicable.
2. Perform the action described: "Goal assigned."
3. Observe system behaviour.</t>
  </si>
  <si>
    <t>System behaves exactly as specified: Goal assigned.</t>
  </si>
  <si>
    <t>TC-0751</t>
  </si>
  <si>
    <t>Goal Creation - Due date mandatory.</t>
  </si>
  <si>
    <t>1. Set up preconditions: User account exists and is authenticated where applicable.
2. Perform the action described: "Due date mandatory."
3. Observe system behaviour.</t>
  </si>
  <si>
    <t>System behaves exactly as specified: Due date mandatory.</t>
  </si>
  <si>
    <t>TC-0752</t>
  </si>
  <si>
    <t>Goal Creation - Weightage validated.</t>
  </si>
  <si>
    <t>1. Set up preconditions: User account exists and is authenticated where applicable.
2. Perform the action described: "Weightage validated."
3. Observe system behaviour.</t>
  </si>
  <si>
    <t>System behaves exactly as specified: Weightage validated.</t>
  </si>
  <si>
    <t>TC-0753</t>
  </si>
  <si>
    <t>Goal Creation - API 'POST /api/goals' returns success for valid authorized request</t>
  </si>
  <si>
    <t>1. Obtain a valid authentication token for role 'User'.
2. Send request: POST /api/goals with valid payload/parameters.
3. Inspect the response.</t>
  </si>
  <si>
    <t>TC-0754</t>
  </si>
  <si>
    <t>Goal Creation - API 'POST /api/goals' rejects unauthorized/unauthenticated request</t>
  </si>
  <si>
    <t>1. Send request: POST /api/goals without a valid authentication token.
2. Inspect the response.</t>
  </si>
  <si>
    <t>TC-0755</t>
  </si>
  <si>
    <t>Goal Creation - API 'POST /api/goals' handles invalid/malformed payload</t>
  </si>
  <si>
    <t>1. Obtain a valid authentication token for role 'User'.
2. Send request: POST /api/goals with missing required fields or malformed JSON.
3. Inspect the response.</t>
  </si>
  <si>
    <t>TC-0756</t>
  </si>
  <si>
    <t>Goal Creation - API 'POST /api/goals' handles non-existent resource gracefully</t>
  </si>
  <si>
    <t>1. Obtain a valid authentication token for role 'User'.
2. Send request: POST /api/goals referencing an ID that does not exist.
3. Inspect the response.</t>
  </si>
  <si>
    <t>TC-0757</t>
  </si>
  <si>
    <t>Goal Creation - Access denied for unauthorized role (Super Admin)</t>
  </si>
  <si>
    <t>1. Log in as Super Admin.
2. Attempt to access/perform: "Goal Creation".</t>
  </si>
  <si>
    <t>TC-0758</t>
  </si>
  <si>
    <t>Goal Creation - Access denied for unauthorized role (Recruiter)</t>
  </si>
  <si>
    <t>1. Log in as Recruiter.
2. Attempt to access/perform: "Goal Creation".</t>
  </si>
  <si>
    <t>TC-0759</t>
  </si>
  <si>
    <t>Goal Creation - Access denied for unauthorized role (Candidate)</t>
  </si>
  <si>
    <t>1. Log in as Candidate.
2. Attempt to access/perform: "Goal Creation".</t>
  </si>
  <si>
    <t>TC-0760</t>
  </si>
  <si>
    <t>Goal Creation - Prevents duplicate submission on repeated/rapid clicks</t>
  </si>
  <si>
    <t>TC-0761</t>
  </si>
  <si>
    <t>Employee Goal Progress - Progress updated.</t>
  </si>
  <si>
    <t>1. Set up preconditions: User account exists and is authenticated where applicable.
2. Perform the action described: "Progress updated."
3. Observe system behaviour.</t>
  </si>
  <si>
    <t>System behaves exactly as specified: Progress updated.</t>
  </si>
  <si>
    <t>TC-0762</t>
  </si>
  <si>
    <t>Employee Goal Progress - History maintained.</t>
  </si>
  <si>
    <t>1. Set up preconditions: User account exists and is authenticated where applicable.
2. Perform the action described: "History maintained."
3. Observe system behaviour.</t>
  </si>
  <si>
    <t>System behaves exactly as specified: History maintained.</t>
  </si>
  <si>
    <t>TC-0763</t>
  </si>
  <si>
    <t>Employee Goal Progress - Recruiter notified.</t>
  </si>
  <si>
    <t>TC-0764</t>
  </si>
  <si>
    <t>Employee Goal Progress - Access denied for unauthorized role (Super Admin)</t>
  </si>
  <si>
    <t>1. Log in as Super Admin.
2. Attempt to access/perform: "Employee Goal Progress".</t>
  </si>
  <si>
    <t>TC-0765</t>
  </si>
  <si>
    <t>Employee Goal Progress - Access denied for unauthorized role (Recruiter)</t>
  </si>
  <si>
    <t>1. Log in as Recruiter.
2. Attempt to access/perform: "Employee Goal Progress".</t>
  </si>
  <si>
    <t>TC-0766</t>
  </si>
  <si>
    <t>Employee Goal Progress - Access denied for unauthorized role (Candidate)</t>
  </si>
  <si>
    <t>1. Log in as Candidate.
2. Attempt to access/perform: "Employee Goal Progress".</t>
  </si>
  <si>
    <t>TC-0767</t>
  </si>
  <si>
    <t>Key Performance Indicators (KPIs) - KPIs assigned.</t>
  </si>
  <si>
    <t>1. Set up preconditions: User account exists and is authenticated where applicable.
2. Perform the action described: "KPIs assigned."
3. Observe system behaviour.</t>
  </si>
  <si>
    <t>System behaves exactly as specified: KPIs assigned.</t>
  </si>
  <si>
    <t>TC-0768</t>
  </si>
  <si>
    <t>Key Performance Indicators (KPIs) - Target mandatory.</t>
  </si>
  <si>
    <t>1. Set up preconditions: User account exists and is authenticated where applicable.
2. Perform the action described: "Target mandatory."
3. Observe system behaviour.</t>
  </si>
  <si>
    <t>System behaves exactly as specified: Target mandatory.</t>
  </si>
  <si>
    <t>TC-0769</t>
  </si>
  <si>
    <t>Key Performance Indicators (KPIs) - Weight totals validated.</t>
  </si>
  <si>
    <t>1. Set up preconditions: User account exists and is authenticated where applicable.
2. Perform the action described: "Weight totals validated."
3. Observe system behaviour.</t>
  </si>
  <si>
    <t>System behaves exactly as specified: Weight totals validated.</t>
  </si>
  <si>
    <t>TC-0770</t>
  </si>
  <si>
    <t>Key Performance Indicators (KPIs) - Access denied for unauthorized role (Super Admin)</t>
  </si>
  <si>
    <t>1. Log in as Super Admin.
2. Attempt to access/perform: "Key Performance Indicators (KPIs)".</t>
  </si>
  <si>
    <t>TC-0771</t>
  </si>
  <si>
    <t>Key Performance Indicators (KPIs) - Access denied for unauthorized role (Recruiter)</t>
  </si>
  <si>
    <t>1. Log in as Recruiter.
2. Attempt to access/perform: "Key Performance Indicators (KPIs)".</t>
  </si>
  <si>
    <t>TC-0772</t>
  </si>
  <si>
    <t>Key Performance Indicators (KPIs) - Access denied for unauthorized role (Candidate)</t>
  </si>
  <si>
    <t>1. Log in as Candidate.
2. Attempt to access/perform: "Key Performance Indicators (KPIs)".</t>
  </si>
  <si>
    <t>TC-0773</t>
  </si>
  <si>
    <t>Self Evaluation - Questions displayed.</t>
  </si>
  <si>
    <t>1. Set up preconditions: User account exists and is authenticated where applicable.
2. Perform the action described: "Questions displayed."
3. Observe system behaviour.</t>
  </si>
  <si>
    <t>System behaves exactly as specified: Questions displayed.</t>
  </si>
  <si>
    <t>TC-0774</t>
  </si>
  <si>
    <t>Self Evaluation - Draft supported.</t>
  </si>
  <si>
    <t>1. Set up preconditions: User account exists and is authenticated where applicable.
2. Perform the action described: "Draft supported."
3. Observe system behaviour.</t>
  </si>
  <si>
    <t>System behaves exactly as specified: Draft supported.</t>
  </si>
  <si>
    <t>TC-0775</t>
  </si>
  <si>
    <t>Self Evaluation - Final submission locked.</t>
  </si>
  <si>
    <t>1. Set up preconditions: User account exists and is authenticated where applicable.
2. Perform the action described: "Final submission locked."
3. Observe system behaviour.</t>
  </si>
  <si>
    <t>System behaves exactly as specified: Final submission locked.</t>
  </si>
  <si>
    <t>TC-0776</t>
  </si>
  <si>
    <t>Self Evaluation - Submission timestamp stored.</t>
  </si>
  <si>
    <t>1. Set up preconditions: User account exists and is authenticated where applicable.
2. Perform the action described: "Submission timestamp stored."
3. Observe system behaviour.</t>
  </si>
  <si>
    <t>System behaves exactly as specified: Submission timestamp stored.</t>
  </si>
  <si>
    <t>TC-0777</t>
  </si>
  <si>
    <t>Self Evaluation - Access denied for unauthorized role (Super Admin)</t>
  </si>
  <si>
    <t>1. Log in as Super Admin.
2. Attempt to access/perform: "Self Evaluation".</t>
  </si>
  <si>
    <t>TC-0778</t>
  </si>
  <si>
    <t>Self Evaluation - Access denied for unauthorized role (Recruiter)</t>
  </si>
  <si>
    <t>1. Log in as Recruiter.
2. Attempt to access/perform: "Self Evaluation".</t>
  </si>
  <si>
    <t>TC-0779</t>
  </si>
  <si>
    <t>Self Evaluation - Access denied for unauthorized role (Candidate)</t>
  </si>
  <si>
    <t>1. Log in as Candidate.
2. Attempt to access/perform: "Self Evaluation".</t>
  </si>
  <si>
    <t>TC-0780</t>
  </si>
  <si>
    <t>Recruiter Performance Evaluation - Evaluation submitted.</t>
  </si>
  <si>
    <t>1. Set up preconditions: User account exists and is authenticated where applicable.
2. Perform the action described: "Evaluation submitted."
3. Observe system behaviour.</t>
  </si>
  <si>
    <t>System behaves exactly as specified: Evaluation submitted.</t>
  </si>
  <si>
    <t>TC-0781</t>
  </si>
  <si>
    <t>Recruiter Performance Evaluation - Ratings calculated.</t>
  </si>
  <si>
    <t>1. Set up preconditions: User account exists and is authenticated where applicable.
2. Perform the action described: "Ratings calculated."
3. Observe system behaviour.</t>
  </si>
  <si>
    <t>System behaves exactly as specified: Ratings calculated.</t>
  </si>
  <si>
    <t>TC-0782</t>
  </si>
  <si>
    <t>Recruiter Performance Evaluation - Employee notified.</t>
  </si>
  <si>
    <t>TC-0783</t>
  </si>
  <si>
    <t>Recruiter Performance Evaluation - Access denied for unauthorized role (Super Admin)</t>
  </si>
  <si>
    <t>1. Log in as Super Admin.
2. Attempt to access/perform: "Recruiter Performance Evaluation".</t>
  </si>
  <si>
    <t>TC-0784</t>
  </si>
  <si>
    <t>Recruiter Performance Evaluation - Access denied for unauthorized role (Recruiter)</t>
  </si>
  <si>
    <t>1. Log in as Recruiter.
2. Attempt to access/perform: "Recruiter Performance Evaluation".</t>
  </si>
  <si>
    <t>TC-0785</t>
  </si>
  <si>
    <t>Recruiter Performance Evaluation - Access denied for unauthorized role (Candidate)</t>
  </si>
  <si>
    <t>1. Log in as Candidate.
2. Attempt to access/perform: "Recruiter Performance Evaluation".</t>
  </si>
  <si>
    <t>TC-0786</t>
  </si>
  <si>
    <t>Performance Rating - Overall rating calculated.</t>
  </si>
  <si>
    <t>1. Set up preconditions: User account exists and is authenticated where applicable.
2. Perform the action described: "Overall rating calculated."
3. Observe system behaviour.</t>
  </si>
  <si>
    <t>System behaves exactly as specified: Overall rating calculated.</t>
  </si>
  <si>
    <t>TC-0787</t>
  </si>
  <si>
    <t>Performance Rating - Rating visible.</t>
  </si>
  <si>
    <t>1. Set up preconditions: User account exists and is authenticated where applicable.
2. Perform the action described: "Rating visible."
3. Observe system behaviour.</t>
  </si>
  <si>
    <t>System behaves exactly as specified: Rating visible.</t>
  </si>
  <si>
    <t>TC-0788</t>
  </si>
  <si>
    <t>Performance Rating - History maintained.</t>
  </si>
  <si>
    <t>TC-0789</t>
  </si>
  <si>
    <t>Performance Rating - Access denied for unauthorized role (Super Admin)</t>
  </si>
  <si>
    <t>1. Log in as Super Admin.
2. Attempt to access/perform: "Performance Rating".</t>
  </si>
  <si>
    <t>TC-0790</t>
  </si>
  <si>
    <t>Performance Rating - Access denied for unauthorized role (Recruiter)</t>
  </si>
  <si>
    <t>1. Log in as Recruiter.
2. Attempt to access/perform: "Performance Rating".</t>
  </si>
  <si>
    <t>TC-0791</t>
  </si>
  <si>
    <t>Performance Rating - Access denied for unauthorized role (Candidate)</t>
  </si>
  <si>
    <t>1. Log in as Candidate.
2. Attempt to access/perform: "Performance Rating".</t>
  </si>
  <si>
    <t>TC-0792</t>
  </si>
  <si>
    <t>Performance History - Historical reviews visible.</t>
  </si>
  <si>
    <t>1. Set up preconditions: User account exists and is authenticated where applicable.
2. Perform the action described: "Historical reviews visible."
3. Observe system behaviour.</t>
  </si>
  <si>
    <t>System behaves exactly as specified: Historical reviews visible.</t>
  </si>
  <si>
    <t>TC-0793</t>
  </si>
  <si>
    <t>Performance History - Filters available.</t>
  </si>
  <si>
    <t>TC-0794</t>
  </si>
  <si>
    <t>Performance History - Export PDF.</t>
  </si>
  <si>
    <t>1. Set up preconditions: User account exists and is authenticated where applicable.
2. Perform the action described: "Export PDF."
3. Observe system behaviour.</t>
  </si>
  <si>
    <t>System behaves exactly as specified: Export PDF.</t>
  </si>
  <si>
    <t>TC-0795</t>
  </si>
  <si>
    <t>Performance History - Access denied for unauthorized role (Super Admin)</t>
  </si>
  <si>
    <t>1. Log in as Super Admin.
2. Attempt to access/perform: "Performance History".</t>
  </si>
  <si>
    <t>TC-0796</t>
  </si>
  <si>
    <t>Performance History - Access denied for unauthorized role (Recruiter)</t>
  </si>
  <si>
    <t>1. Log in as Recruiter.
2. Attempt to access/perform: "Performance History".</t>
  </si>
  <si>
    <t>TC-0797</t>
  </si>
  <si>
    <t>Performance History - Access denied for unauthorized role (Candidate)</t>
  </si>
  <si>
    <t>1. Log in as Candidate.
2. Attempt to access/perform: "Performance History".</t>
  </si>
  <si>
    <t>TC-0798</t>
  </si>
  <si>
    <t>Performance Comments - Rich text supported.</t>
  </si>
  <si>
    <t>TC-0799</t>
  </si>
  <si>
    <t>Performance Comments - Timestamps displayed.</t>
  </si>
  <si>
    <t>TC-0800</t>
  </si>
  <si>
    <t>Performance Comments - Editing disabled after submission.</t>
  </si>
  <si>
    <t>1. Set up preconditions: User account exists and is authenticated where applicable.
2. Perform the action described: "Editing disabled after submission."
3. Observe system behaviour.</t>
  </si>
  <si>
    <t>System behaves exactly as specified: Editing disabled after submission.</t>
  </si>
  <si>
    <t>TC-0801</t>
  </si>
  <si>
    <t>Performance Comments - Access denied for unauthorized role (Super Admin)</t>
  </si>
  <si>
    <t>1. Log in as Super Admin.
2. Attempt to access/perform: "Performance Comments".</t>
  </si>
  <si>
    <t>TC-0802</t>
  </si>
  <si>
    <t>Performance Comments - Access denied for unauthorized role (Recruiter)</t>
  </si>
  <si>
    <t>1. Log in as Recruiter.
2. Attempt to access/perform: "Performance Comments".</t>
  </si>
  <si>
    <t>TC-0803</t>
  </si>
  <si>
    <t>Performance Comments - Access denied for unauthorized role (Candidate)</t>
  </si>
  <si>
    <t>1. Log in as Candidate.
2. Attempt to access/perform: "Performance Comments".</t>
  </si>
  <si>
    <t>TC-0804</t>
  </si>
  <si>
    <t>Performance Attachments - Multiple uploads.</t>
  </si>
  <si>
    <t>1. Set up preconditions: User account exists and is authenticated where applicable.
2. Perform the action described: "Multiple uploads."
3. Observe system behaviour.</t>
  </si>
  <si>
    <t>System behaves exactly as specified: Multiple uploads.</t>
  </si>
  <si>
    <t>TC-0805</t>
  </si>
  <si>
    <t>Performance Attachments - Preview available.</t>
  </si>
  <si>
    <t>TC-0806</t>
  </si>
  <si>
    <t>Performance Attachments - Download supported.</t>
  </si>
  <si>
    <t>TC-0807</t>
  </si>
  <si>
    <t>Performance Attachments - Access denied for unauthorized role (Super Admin)</t>
  </si>
  <si>
    <t>1. Log in as Super Admin.
2. Attempt to access/perform: "Performance Attachments".</t>
  </si>
  <si>
    <t>TC-0808</t>
  </si>
  <si>
    <t>Performance Attachments - Access denied for unauthorized role (Recruiter)</t>
  </si>
  <si>
    <t>1. Log in as Recruiter.
2. Attempt to access/perform: "Performance Attachments".</t>
  </si>
  <si>
    <t>TC-0809</t>
  </si>
  <si>
    <t>Performance Attachments - Access denied for unauthorized role (Candidate)</t>
  </si>
  <si>
    <t>1. Log in as Candidate.
2. Attempt to access/perform: "Performance Attachments".</t>
  </si>
  <si>
    <t>TC-0810</t>
  </si>
  <si>
    <t>Performance Notifications - Email notification.</t>
  </si>
  <si>
    <t>1. Set up preconditions: User account exists and is authenticated where applicable.
2. Perform the action described: "Email notification."
3. Observe system behaviour.</t>
  </si>
  <si>
    <t>System behaves exactly as specified: Email notification.</t>
  </si>
  <si>
    <t>TC-0811</t>
  </si>
  <si>
    <t>Performance Notifications - In-app notification.</t>
  </si>
  <si>
    <t>1. Set up preconditions: User account exists and is authenticated where applicable.
2. Perform the action described: "In-app notification."
3. Observe system behaviour.</t>
  </si>
  <si>
    <t>System behaves exactly as specified: In-app notification.</t>
  </si>
  <si>
    <t>TC-0812</t>
  </si>
  <si>
    <t>Performance Notifications - Read status maintained.</t>
  </si>
  <si>
    <t>TC-0813</t>
  </si>
  <si>
    <t>Performance Notifications - Access denied for unauthorized role (Super Admin)</t>
  </si>
  <si>
    <t>1. Log in as Super Admin.
2. Attempt to access/perform: "Performance Notifications".</t>
  </si>
  <si>
    <t>TC-0814</t>
  </si>
  <si>
    <t>Performance Notifications - Access denied for unauthorized role (Recruiter)</t>
  </si>
  <si>
    <t>1. Log in as Recruiter.
2. Attempt to access/perform: "Performance Notifications".</t>
  </si>
  <si>
    <t>TC-0815</t>
  </si>
  <si>
    <t>Performance Notifications - Access denied for unauthorized role (Candidate)</t>
  </si>
  <si>
    <t>1. Log in as Candidate.
2. Attempt to access/perform: "Performance Notifications".</t>
  </si>
  <si>
    <t>TC-0816</t>
  </si>
  <si>
    <t>Performance Analytics - Graphs generated.</t>
  </si>
  <si>
    <t>1. Set up preconditions: User account exists and is authenticated where applicable.
2. Perform the action described: "Graphs generated."
3. Observe system behaviour.</t>
  </si>
  <si>
    <t>System behaves exactly as specified: Graphs generated.</t>
  </si>
  <si>
    <t>TC-0817</t>
  </si>
  <si>
    <t>Performance Analytics - Department filters.</t>
  </si>
  <si>
    <t>1. Set up preconditions: User account exists and is authenticated where applicable.
2. Perform the action described: "Department filters."
3. Observe system behaviour.</t>
  </si>
  <si>
    <t>System behaves exactly as specified: Department filters.</t>
  </si>
  <si>
    <t>TC-0818</t>
  </si>
  <si>
    <t>Performance Analytics - Export available.</t>
  </si>
  <si>
    <t>TC-0819</t>
  </si>
  <si>
    <t>Performance Analytics - Access denied for unauthorized role (Super Admin)</t>
  </si>
  <si>
    <t>1. Log in as Super Admin.
2. Attempt to access/perform: "Performance Analytics".</t>
  </si>
  <si>
    <t>TC-0820</t>
  </si>
  <si>
    <t>Performance Analytics - Access denied for unauthorized role (Recruiter)</t>
  </si>
  <si>
    <t>1. Log in as Recruiter.
2. Attempt to access/perform: "Performance Analytics".</t>
  </si>
  <si>
    <t>TC-0821</t>
  </si>
  <si>
    <t>Performance Analytics - Access denied for unauthorized role (Candidate)</t>
  </si>
  <si>
    <t>1. Log in as Candidate.
2. Attempt to access/perform: "Performance Analytics".</t>
  </si>
  <si>
    <t>TC-0822</t>
  </si>
  <si>
    <t>Performance Analytics - Displays correctly when no data is available</t>
  </si>
  <si>
    <t>TC-0823</t>
  </si>
  <si>
    <t>Performance Analytics - Handles large dataset with pagination correctly</t>
  </si>
  <si>
    <t>TC-0824</t>
  </si>
  <si>
    <t>AI Performance Insights - AI report generated.</t>
  </si>
  <si>
    <t>1. Set up preconditions: User account exists and is authenticated where applicable.
2. Perform the action described: "AI report generated."
3. Observe system behaviour.</t>
  </si>
  <si>
    <t>System behaves exactly as specified: AI report generated.</t>
  </si>
  <si>
    <t>TC-0825</t>
  </si>
  <si>
    <t>AI Performance Insights - Recommendations personalized.</t>
  </si>
  <si>
    <t>1. Set up preconditions: User account exists and is authenticated where applicable.
2. Perform the action described: "Recommendations personalized."
3. Observe system behaviour.</t>
  </si>
  <si>
    <t>System behaves exactly as specified: Recommendations personalized.</t>
  </si>
  <si>
    <t>TC-0826</t>
  </si>
  <si>
    <t>AI Performance Insights - Explainability included.</t>
  </si>
  <si>
    <t>1. Set up preconditions: User account exists and is authenticated where applicable.
2. Perform the action described: "Explainability included."
3. Observe system behaviour.</t>
  </si>
  <si>
    <t>System behaves exactly as specified: Explainability included.</t>
  </si>
  <si>
    <t>TC-0827</t>
  </si>
  <si>
    <t>AI Performance Insights - Report downloadable.</t>
  </si>
  <si>
    <t>1. Set up preconditions: User account exists and is authenticated where applicable.
2. Perform the action described: "Report downloadable."
3. Observe system behaviour.</t>
  </si>
  <si>
    <t>System behaves exactly as specified: Report downloadable.</t>
  </si>
  <si>
    <t>TC-0828</t>
  </si>
  <si>
    <t>AI Performance Insights - Access denied for unauthorized role (Super Admin)</t>
  </si>
  <si>
    <t>1. Log in as Super Admin.
2. Attempt to access/perform: "AI Performance Insights".</t>
  </si>
  <si>
    <t>TC-0829</t>
  </si>
  <si>
    <t>AI Performance Insights - Access denied for unauthorized role (Recruiter)</t>
  </si>
  <si>
    <t>1. Log in as Recruiter.
2. Attempt to access/perform: "AI Performance Insights".</t>
  </si>
  <si>
    <t>TC-0830</t>
  </si>
  <si>
    <t>AI Performance Insights - Access denied for unauthorized role (Candidate)</t>
  </si>
  <si>
    <t>1. Log in as Candidate.
2. Attempt to access/perform: "AI Performance Insights".</t>
  </si>
  <si>
    <t>TC-0831</t>
  </si>
  <si>
    <t>Performance Report Export - Export generated.</t>
  </si>
  <si>
    <t>1. Set up preconditions: User account exists and is authenticated where applicable.
2. Perform the action described: "Export generated."
3. Observe system behaviour.</t>
  </si>
  <si>
    <t>System behaves exactly as specified: Export generated.</t>
  </si>
  <si>
    <t>TC-0832</t>
  </si>
  <si>
    <t>Performance Report Export - Correct formatting.</t>
  </si>
  <si>
    <t>1. Set up preconditions: User account exists and is authenticated where applicable.
2. Perform the action described: "Correct formatting."
3. Observe system behaviour.</t>
  </si>
  <si>
    <t>System behaves exactly as specified: Correct formatting.</t>
  </si>
  <si>
    <t>TC-0833</t>
  </si>
  <si>
    <t>Performance Report Export - Download available.</t>
  </si>
  <si>
    <t>1. Set up preconditions: User account exists and is authenticated where applicable.
2. Perform the action described: "Download available."
3. Observe system behaviour.</t>
  </si>
  <si>
    <t>System behaves exactly as specified: Download available.</t>
  </si>
  <si>
    <t>TC-0834</t>
  </si>
  <si>
    <t>Performance Report Export - Access denied for unauthorized role (Super Admin)</t>
  </si>
  <si>
    <t>1. Log in as Super Admin.
2. Attempt to access/perform: "Performance Report Export".</t>
  </si>
  <si>
    <t>TC-0835</t>
  </si>
  <si>
    <t>Performance Report Export - Access denied for unauthorized role (Recruiter)</t>
  </si>
  <si>
    <t>1. Log in as Recruiter.
2. Attempt to access/perform: "Performance Report Export".</t>
  </si>
  <si>
    <t>TC-0836</t>
  </si>
  <si>
    <t>Performance Report Export - Access denied for unauthorized role (Candidate)</t>
  </si>
  <si>
    <t>1. Log in as Candidate.
2. Attempt to access/perform: "Performance Report Export".</t>
  </si>
  <si>
    <t>TC-0837</t>
  </si>
  <si>
    <t>Performance Report Export - Displays correctly when no data is available</t>
  </si>
  <si>
    <t>TC-0838</t>
  </si>
  <si>
    <t>Performance Report Export - Handles large dataset with pagination correctly</t>
  </si>
  <si>
    <t>TC-0839</t>
  </si>
  <si>
    <t>Employee Skill Matrix - Skills can be added.</t>
  </si>
  <si>
    <t>1. Set up preconditions: Candidate (Employee) account exists and is authenticated where applicable.
2. Perform the action described: "Skills can be added."
3. Observe system behaviour.</t>
  </si>
  <si>
    <t>System behaves exactly as specified: Skills can be added.</t>
  </si>
  <si>
    <t>TC-0840</t>
  </si>
  <si>
    <t>Employee Skill Matrix - Skills can be edited.</t>
  </si>
  <si>
    <t>1. Set up preconditions: Candidate (Employee) account exists and is authenticated where applicable.
2. Perform the action described: "Skills can be edited."
3. Observe system behaviour.</t>
  </si>
  <si>
    <t>System behaves exactly as specified: Skills can be edited.</t>
  </si>
  <si>
    <t>TC-0841</t>
  </si>
  <si>
    <t>Employee Skill Matrix - Duplicate skills prevented.</t>
  </si>
  <si>
    <t>1. Set up preconditions: Candidate (Employee) account exists and is authenticated where applicable.
2. Perform the action described: "Duplicate skills prevented."
3. Observe system behaviour.</t>
  </si>
  <si>
    <t>System behaves exactly as specified: Duplicate skills prevented.</t>
  </si>
  <si>
    <t>TC-0842</t>
  </si>
  <si>
    <t>Employee Skill Matrix - Skill proficiency displayed.</t>
  </si>
  <si>
    <t>1. Set up preconditions: Candidate (Employee) account exists and is authenticated where applicable.
2. Perform the action described: "Skill proficiency displayed."
3. Observe system behaviour.</t>
  </si>
  <si>
    <t>System behaves exactly as specified: Skill proficiency displayed.</t>
  </si>
  <si>
    <t>TC-0843</t>
  </si>
  <si>
    <t>Employee Skill Matrix - Verified skills highlighted.</t>
  </si>
  <si>
    <t>1. Set up preconditions: Candidate (Employee) account exists and is authenticated where applicable.
2. Perform the action described: "Verified skills highlighted."
3. Observe system behaviour.</t>
  </si>
  <si>
    <t>System behaves exactly as specified: Verified skills highlighted.</t>
  </si>
  <si>
    <t>TC-0844</t>
  </si>
  <si>
    <t>Employee Skill Matrix - API 'GET /api/talent/skills' returns success for valid authorized request</t>
  </si>
  <si>
    <t>1. Obtain a valid authentication token for role 'Candidate (Employee)'.
2. Send request: GET /api/talent/skills with valid payload/parameters.
3. Inspect the response.</t>
  </si>
  <si>
    <t>TC-0845</t>
  </si>
  <si>
    <t>Employee Skill Matrix - API 'GET /api/talent/skills' rejects unauthorized/unauthenticated request</t>
  </si>
  <si>
    <t>1. Send request: GET /api/talent/skills without a valid authentication token.
2. Inspect the response.</t>
  </si>
  <si>
    <t>TC-0846</t>
  </si>
  <si>
    <t>Employee Skill Matrix - API 'GET /api/talent/skills' handles invalid/malformed payload</t>
  </si>
  <si>
    <t>1. Obtain a valid authentication token for role 'Candidate (Employee)'.
2. Send request: GET /api/talent/skills with missing required fields or malformed JSON.
3. Inspect the response.</t>
  </si>
  <si>
    <t>TC-0847</t>
  </si>
  <si>
    <t>Employee Skill Matrix - API 'GET /api/talent/skills' handles non-existent resource gracefully</t>
  </si>
  <si>
    <t>1. Obtain a valid authentication token for role 'Candidate (Employee)'.
2. Send request: GET /api/talent/skills referencing an ID that does not exist.
3. Inspect the response.</t>
  </si>
  <si>
    <t>TC-0848</t>
  </si>
  <si>
    <t>Employee Skill Matrix - API 'POST /api/talent/skills' returns success for valid authorized request</t>
  </si>
  <si>
    <t>1. Obtain a valid authentication token for role 'Candidate (Employee)'.
2. Send request: POST /api/talent/skills with valid payload/parameters.
3. Inspect the response.</t>
  </si>
  <si>
    <t>TC-0849</t>
  </si>
  <si>
    <t>Employee Skill Matrix - API 'POST /api/talent/skills' rejects unauthorized/unauthenticated request</t>
  </si>
  <si>
    <t>1. Send request: POST /api/talent/skills without a valid authentication token.
2. Inspect the response.</t>
  </si>
  <si>
    <t>TC-0850</t>
  </si>
  <si>
    <t>Employee Skill Matrix - API 'POST /api/talent/skills' handles invalid/malformed payload</t>
  </si>
  <si>
    <t>1. Obtain a valid authentication token for role 'Candidate (Employee)'.
2. Send request: POST /api/talent/skills with missing required fields or malformed JSON.
3. Inspect the response.</t>
  </si>
  <si>
    <t>TC-0851</t>
  </si>
  <si>
    <t>Employee Skill Matrix - API 'POST /api/talent/skills' handles non-existent resource gracefully</t>
  </si>
  <si>
    <t>1. Obtain a valid authentication token for role 'Candidate (Employee)'.
2. Send request: POST /api/talent/skills referencing an ID that does not exist.
3. Inspect the response.</t>
  </si>
  <si>
    <t>TC-0852</t>
  </si>
  <si>
    <t>Employee Skill Matrix - Access denied for unauthorized role (Super Admin)</t>
  </si>
  <si>
    <t>1. Log in as Super Admin.
2. Attempt to access/perform: "Employee Skill Matrix".</t>
  </si>
  <si>
    <t>TC-0853</t>
  </si>
  <si>
    <t>Employee Skill Matrix - Access denied for unauthorized role (Recruiter)</t>
  </si>
  <si>
    <t>1. Log in as Recruiter.
2. Attempt to access/perform: "Employee Skill Matrix".</t>
  </si>
  <si>
    <t>TC-0854</t>
  </si>
  <si>
    <t>Employee Skill Matrix - Access denied for unauthorized role (Candidate)</t>
  </si>
  <si>
    <t>1. Log in as Candidate.
2. Attempt to access/perform: "Employee Skill Matrix".</t>
  </si>
  <si>
    <t>TC-0855</t>
  </si>
  <si>
    <t>Skill Categories - Categories configurable.</t>
  </si>
  <si>
    <t>1. Set up preconditions: User account exists and is authenticated where applicable.
2. Perform the action described: "Categories configurable."
3. Observe system behaviour.</t>
  </si>
  <si>
    <t>System behaves exactly as specified: Categories configurable.</t>
  </si>
  <si>
    <t>TC-0856</t>
  </si>
  <si>
    <t>Skill Categories - Skills mapped correctly.</t>
  </si>
  <si>
    <t>1. Set up preconditions: User account exists and is authenticated where applicable.
2. Perform the action described: "Skills mapped correctly."
3. Observe system behaviour.</t>
  </si>
  <si>
    <t>System behaves exactly as specified: Skills mapped correctly.</t>
  </si>
  <si>
    <t>TC-0857</t>
  </si>
  <si>
    <t>Skill Categories - Search supported.</t>
  </si>
  <si>
    <t>1. Set up preconditions: User account exists and is authenticated where applicable.
2. Perform the action described: "Search supported."
3. Observe system behaviour.</t>
  </si>
  <si>
    <t>System behaves exactly as specified: Search supported.</t>
  </si>
  <si>
    <t>TC-0858</t>
  </si>
  <si>
    <t>Skill Categories - Access denied for unauthorized role (Super Admin)</t>
  </si>
  <si>
    <t>1. Log in as Super Admin.
2. Attempt to access/perform: "Skill Categories".</t>
  </si>
  <si>
    <t>TC-0859</t>
  </si>
  <si>
    <t>Skill Categories - Access denied for unauthorized role (Recruiter)</t>
  </si>
  <si>
    <t>1. Log in as Recruiter.
2. Attempt to access/perform: "Skill Categories".</t>
  </si>
  <si>
    <t>TC-0860</t>
  </si>
  <si>
    <t>Skill Categories - Access denied for unauthorized role (Candidate)</t>
  </si>
  <si>
    <t>1. Log in as Candidate.
2. Attempt to access/perform: "Skill Categories".</t>
  </si>
  <si>
    <t>TC-0861</t>
  </si>
  <si>
    <t>Skill Proficiency Levels - Only valid levels selectable.</t>
  </si>
  <si>
    <t>1. Set up preconditions: User account exists and is authenticated where applicable.
2. Perform the action described: "Only valid levels selectable."
3. Observe system behaviour.</t>
  </si>
  <si>
    <t>System behaves exactly as specified: Only valid levels selectable.</t>
  </si>
  <si>
    <t>TC-0862</t>
  </si>
  <si>
    <t>Skill Proficiency Levels - Skill matrix updated.</t>
  </si>
  <si>
    <t>1. Set up preconditions: User account exists and is authenticated where applicable.
2. Perform the action described: "Skill matrix updated."
3. Observe system behaviour.</t>
  </si>
  <si>
    <t>System behaves exactly as specified: Skill matrix updated.</t>
  </si>
  <si>
    <t>TC-0863</t>
  </si>
  <si>
    <t>Skill Proficiency Levels - Recruiter can verify proficiency.</t>
  </si>
  <si>
    <t>1. Set up preconditions: User account exists and is authenticated where applicable.
2. Perform the action described: "Recruiter can verify proficiency."
3. Observe system behaviour.</t>
  </si>
  <si>
    <t>System behaves exactly as specified: Recruiter can verify proficiency.</t>
  </si>
  <si>
    <t>TC-0864</t>
  </si>
  <si>
    <t>Skill Proficiency Levels - Access denied for unauthorized role (Super Admin)</t>
  </si>
  <si>
    <t>1. Log in as Super Admin.
2. Attempt to access/perform: "Skill Proficiency Levels".</t>
  </si>
  <si>
    <t>TC-0865</t>
  </si>
  <si>
    <t>Skill Proficiency Levels - Access denied for unauthorized role (Recruiter)</t>
  </si>
  <si>
    <t>1. Log in as Recruiter.
2. Attempt to access/perform: "Skill Proficiency Levels".</t>
  </si>
  <si>
    <t>TC-0866</t>
  </si>
  <si>
    <t>Skill Proficiency Levels - Access denied for unauthorized role (Candidate)</t>
  </si>
  <si>
    <t>1. Log in as Candidate.
2. Attempt to access/perform: "Skill Proficiency Levels".</t>
  </si>
  <si>
    <t>TC-0867</t>
  </si>
  <si>
    <t>Career Path - Career roadmap displayed.</t>
  </si>
  <si>
    <t>1. Set up preconditions: User account exists and is authenticated where applicable.
2. Perform the action described: "Career roadmap displayed."
3. Observe system behaviour.</t>
  </si>
  <si>
    <t>System behaves exactly as specified: Career roadmap displayed.</t>
  </si>
  <si>
    <t>TC-0868</t>
  </si>
  <si>
    <t>Career Path - Missing requirements highlighted.</t>
  </si>
  <si>
    <t>1. Set up preconditions: User account exists and is authenticated where applicable.
2. Perform the action described: "Missing requirements highlighted."
3. Observe system behaviour.</t>
  </si>
  <si>
    <t>System behaves exactly as specified: Missing requirements highlighted.</t>
  </si>
  <si>
    <t>TC-0869</t>
  </si>
  <si>
    <t>Career Path - Progress percentage calculated.</t>
  </si>
  <si>
    <t>1. Set up preconditions: User account exists and is authenticated where applicable.
2. Perform the action described: "Progress percentage calculated."
3. Observe system behaviour.</t>
  </si>
  <si>
    <t>System behaves exactly as specified: Progress percentage calculated.</t>
  </si>
  <si>
    <t>TC-0870</t>
  </si>
  <si>
    <t>Career Path - Access denied for unauthorized role (Super Admin)</t>
  </si>
  <si>
    <t>1. Log in as Super Admin.
2. Attempt to access/perform: "Career Path".</t>
  </si>
  <si>
    <t>TC-0871</t>
  </si>
  <si>
    <t>Career Path - Access denied for unauthorized role (Recruiter)</t>
  </si>
  <si>
    <t>1. Log in as Recruiter.
2. Attempt to access/perform: "Career Path".</t>
  </si>
  <si>
    <t>TC-0872</t>
  </si>
  <si>
    <t>Career Path - Access denied for unauthorized role (Candidate)</t>
  </si>
  <si>
    <t>1. Log in as Candidate.
2. Attempt to access/perform: "Career Path".</t>
  </si>
  <si>
    <t>TC-0873</t>
  </si>
  <si>
    <t>Career Timeline - Timeline sorted chronologically.</t>
  </si>
  <si>
    <t>1. Set up preconditions: User account exists and is authenticated where applicable.
2. Perform the action described: "Timeline sorted chronologically."
3. Observe system behaviour.</t>
  </si>
  <si>
    <t>System behaves exactly as specified: Timeline sorted chronologically.</t>
  </si>
  <si>
    <t>TC-0874</t>
  </si>
  <si>
    <t>Career Timeline - Filters available.</t>
  </si>
  <si>
    <t>TC-0875</t>
  </si>
  <si>
    <t>Career Timeline - Events expandable.</t>
  </si>
  <si>
    <t>1. Set up preconditions: User account exists and is authenticated where applicable.
2. Perform the action described: "Events expandable."
3. Observe system behaviour.</t>
  </si>
  <si>
    <t>System behaves exactly as specified: Events expandable.</t>
  </si>
  <si>
    <t>TC-0876</t>
  </si>
  <si>
    <t>Career Timeline - Access denied for unauthorized role (Super Admin)</t>
  </si>
  <si>
    <t>1. Log in as Super Admin.
2. Attempt to access/perform: "Career Timeline".</t>
  </si>
  <si>
    <t>TC-0877</t>
  </si>
  <si>
    <t>Career Timeline - Access denied for unauthorized role (Recruiter)</t>
  </si>
  <si>
    <t>1. Log in as Recruiter.
2. Attempt to access/perform: "Career Timeline".</t>
  </si>
  <si>
    <t>TC-0878</t>
  </si>
  <si>
    <t>Career Timeline - Access denied for unauthorized role (Candidate)</t>
  </si>
  <si>
    <t>1. Log in as Candidate.
2. Attempt to access/perform: "Career Timeline".</t>
  </si>
  <si>
    <t>TC-0879</t>
  </si>
  <si>
    <t>Internal Opportunities - Search available.</t>
  </si>
  <si>
    <t>1. Set up preconditions: User account exists and is authenticated where applicable.
2. Perform the action described: "Search available."
3. Observe system behaviour.</t>
  </si>
  <si>
    <t>System behaves exactly as specified: Search available.</t>
  </si>
  <si>
    <t>TC-0880</t>
  </si>
  <si>
    <t>Internal Opportunities - Apply button.</t>
  </si>
  <si>
    <t>1. Set up preconditions: User account exists and is authenticated where applicable.
2. Perform the action described: "Apply button."
3. Observe system behaviour.</t>
  </si>
  <si>
    <t>System behaves exactly as specified: Apply button.</t>
  </si>
  <si>
    <t>TC-0881</t>
  </si>
  <si>
    <t>Internal Opportunities - Eligibility validated.</t>
  </si>
  <si>
    <t>1. Set up preconditions: User account exists and is authenticated where applicable.
2. Perform the action described: "Eligibility validated."
3. Observe system behaviour.</t>
  </si>
  <si>
    <t>System behaves exactly as specified: Eligibility validated.</t>
  </si>
  <si>
    <t>TC-0882</t>
  </si>
  <si>
    <t>Internal Opportunities - Access denied for unauthorized role (Super Admin)</t>
  </si>
  <si>
    <t>1. Log in as Super Admin.
2. Attempt to access/perform: "Internal Opportunities".</t>
  </si>
  <si>
    <t>TC-0883</t>
  </si>
  <si>
    <t>Internal Opportunities - Access denied for unauthorized role (Recruiter)</t>
  </si>
  <si>
    <t>1. Log in as Recruiter.
2. Attempt to access/perform: "Internal Opportunities".</t>
  </si>
  <si>
    <t>TC-0884</t>
  </si>
  <si>
    <t>Internal Opportunities - Access denied for unauthorized role (Candidate)</t>
  </si>
  <si>
    <t>1. Log in as Candidate.
2. Attempt to access/perform: "Internal Opportunities".</t>
  </si>
  <si>
    <t>TC-0885</t>
  </si>
  <si>
    <t>Promotion Readiness - Readiness score generated.</t>
  </si>
  <si>
    <t>1. Set up preconditions: User account exists and is authenticated where applicable.
2. Perform the action described: "Readiness score generated."
3. Observe system behaviour.</t>
  </si>
  <si>
    <t>System behaves exactly as specified: Readiness score generated.</t>
  </si>
  <si>
    <t>TC-0886</t>
  </si>
  <si>
    <t>Promotion Readiness - Missing competencies displayed.</t>
  </si>
  <si>
    <t>1. Set up preconditions: User account exists and is authenticated where applicable.
2. Perform the action described: "Missing competencies displayed."
3. Observe system behaviour.</t>
  </si>
  <si>
    <t>System behaves exactly as specified: Missing competencies displayed.</t>
  </si>
  <si>
    <t>TC-0887</t>
  </si>
  <si>
    <t>Promotion Readiness - Recommendations provided.</t>
  </si>
  <si>
    <t>1. Set up preconditions: User account exists and is authenticated where applicable.
2. Perform the action described: "Recommendations provided."
3. Observe system behaviour.</t>
  </si>
  <si>
    <t>System behaves exactly as specified: Recommendations provided.</t>
  </si>
  <si>
    <t>TC-0888</t>
  </si>
  <si>
    <t>Promotion Readiness - Access denied for unauthorized role (Super Admin)</t>
  </si>
  <si>
    <t>1. Log in as Super Admin.
2. Attempt to access/perform: "Promotion Readiness".</t>
  </si>
  <si>
    <t>TC-0889</t>
  </si>
  <si>
    <t>Promotion Readiness - Access denied for unauthorized role (Recruiter)</t>
  </si>
  <si>
    <t>1. Log in as Recruiter.
2. Attempt to access/perform: "Promotion Readiness".</t>
  </si>
  <si>
    <t>TC-0890</t>
  </si>
  <si>
    <t>Promotion Readiness - Access denied for unauthorized role (Candidate)</t>
  </si>
  <si>
    <t>1. Log in as Candidate.
2. Attempt to access/perform: "Promotion Readiness".</t>
  </si>
  <si>
    <t>TC-0891</t>
  </si>
  <si>
    <t>AI Career Recommendations - Personalized recommendations.</t>
  </si>
  <si>
    <t>1. Set up preconditions: User account exists and is authenticated where applicable.
2. Perform the action described: "Personalized recommendations."
3. Observe system behaviour.</t>
  </si>
  <si>
    <t>System behaves exactly as specified: Personalized recommendations.</t>
  </si>
  <si>
    <t>TC-0892</t>
  </si>
  <si>
    <t>AI Career Recommendations - Explainable reasoning.</t>
  </si>
  <si>
    <t>1. Set up preconditions: User account exists and is authenticated where applicable.
2. Perform the action described: "Explainable reasoning."
3. Observe system behaviour.</t>
  </si>
  <si>
    <t>System behaves exactly as specified: Explainable reasoning.</t>
  </si>
  <si>
    <t>TC-0893</t>
  </si>
  <si>
    <t>AI Career Recommendations - Updated periodically.</t>
  </si>
  <si>
    <t>1. Set up preconditions: User account exists and is authenticated where applicable.
2. Perform the action described: "Updated periodically."
3. Observe system behaviour.</t>
  </si>
  <si>
    <t>System behaves exactly as specified: Updated periodically.</t>
  </si>
  <si>
    <t>TC-0894</t>
  </si>
  <si>
    <t>AI Career Recommendations - Access denied for unauthorized role (Super Admin)</t>
  </si>
  <si>
    <t>1. Log in as Super Admin.
2. Attempt to access/perform: "AI Career Recommendations".</t>
  </si>
  <si>
    <t>TC-0895</t>
  </si>
  <si>
    <t>AI Career Recommendations - Access denied for unauthorized role (Recruiter)</t>
  </si>
  <si>
    <t>1. Log in as Recruiter.
2. Attempt to access/perform: "AI Career Recommendations".</t>
  </si>
  <si>
    <t>TC-0896</t>
  </si>
  <si>
    <t>AI Career Recommendations - Access denied for unauthorized role (Candidate)</t>
  </si>
  <si>
    <t>1. Log in as Candidate.
2. Attempt to access/perform: "AI Career Recommendations".</t>
  </si>
  <si>
    <t>TC-0897</t>
  </si>
  <si>
    <t>Skill Gap Dashboard - Dashboard updates automatically.</t>
  </si>
  <si>
    <t>1. Set up preconditions: User account exists and is authenticated where applicable.
2. Perform the action described: "Dashboard updates automatically."
3. Observe system behaviour.</t>
  </si>
  <si>
    <t>System behaves exactly as specified: Dashboard updates automatically.</t>
  </si>
  <si>
    <t>TC-0898</t>
  </si>
  <si>
    <t>Skill Gap Dashboard - Department comparison available.</t>
  </si>
  <si>
    <t>1. Set up preconditions: User account exists and is authenticated where applicable.
2. Perform the action described: "Department comparison available."
3. Observe system behaviour.</t>
  </si>
  <si>
    <t>System behaves exactly as specified: Department comparison available.</t>
  </si>
  <si>
    <t>TC-0899</t>
  </si>
  <si>
    <t>Skill Gap Dashboard - Export supported.</t>
  </si>
  <si>
    <t>1. Set up preconditions: User account exists and is authenticated where applicable.
2. Perform the action described: "Export supported."
3. Observe system behaviour.</t>
  </si>
  <si>
    <t>System behaves exactly as specified: Export supported.</t>
  </si>
  <si>
    <t>TC-0900</t>
  </si>
  <si>
    <t>Skill Gap Dashboard - Access denied for unauthorized role (Super Admin)</t>
  </si>
  <si>
    <t>1. Log in as Super Admin.
2. Attempt to access/perform: "Skill Gap Dashboard".</t>
  </si>
  <si>
    <t>TC-0901</t>
  </si>
  <si>
    <t>Skill Gap Dashboard - Access denied for unauthorized role (Recruiter)</t>
  </si>
  <si>
    <t>1. Log in as Recruiter.
2. Attempt to access/perform: "Skill Gap Dashboard".</t>
  </si>
  <si>
    <t>TC-0902</t>
  </si>
  <si>
    <t>Skill Gap Dashboard - Access denied for unauthorized role (Candidate)</t>
  </si>
  <si>
    <t>1. Log in as Candidate.
2. Attempt to access/perform: "Skill Gap Dashboard".</t>
  </si>
  <si>
    <t>TC-0903</t>
  </si>
  <si>
    <t>Skill Gap Dashboard - Displays correctly when no data is available</t>
  </si>
  <si>
    <t>TC-0904</t>
  </si>
  <si>
    <t>Skill Gap Dashboard - Handles large dataset with pagination correctly</t>
  </si>
  <si>
    <t>TC-0905</t>
  </si>
  <si>
    <t>Competency Assessment - Competencies scored.</t>
  </si>
  <si>
    <t>1. Set up preconditions: User account exists and is authenticated where applicable.
2. Perform the action described: "Competencies scored."
3. Observe system behaviour.</t>
  </si>
  <si>
    <t>System behaves exactly as specified: Competencies scored.</t>
  </si>
  <si>
    <t>TC-0906</t>
  </si>
  <si>
    <t>Competency Assessment - Historical comparison.</t>
  </si>
  <si>
    <t>1. Set up preconditions: User account exists and is authenticated where applicable.
2. Perform the action described: "Historical comparison."
3. Observe system behaviour.</t>
  </si>
  <si>
    <t>System behaves exactly as specified: Historical comparison.</t>
  </si>
  <si>
    <t>TC-0907</t>
  </si>
  <si>
    <t>Competency Assessment - Reports generated.</t>
  </si>
  <si>
    <t>1. Set up preconditions: User account exists and is authenticated where applicable.
2. Perform the action described: "Reports generated."
3. Observe system behaviour.</t>
  </si>
  <si>
    <t>System behaves exactly as specified: Reports generated.</t>
  </si>
  <si>
    <t>TC-0908</t>
  </si>
  <si>
    <t>Competency Assessment - Access denied for unauthorized role (Super Admin)</t>
  </si>
  <si>
    <t>1. Log in as Super Admin.
2. Attempt to access/perform: "Competency Assessment".</t>
  </si>
  <si>
    <t>TC-0909</t>
  </si>
  <si>
    <t>Competency Assessment - Access denied for unauthorized role (Recruiter)</t>
  </si>
  <si>
    <t>1. Log in as Recruiter.
2. Attempt to access/perform: "Competency Assessment".</t>
  </si>
  <si>
    <t>TC-0910</t>
  </si>
  <si>
    <t>Competency Assessment - Access denied for unauthorized role (Candidate)</t>
  </si>
  <si>
    <t>1. Log in as Candidate.
2. Attempt to access/perform: "Competency Assessment".</t>
  </si>
  <si>
    <t>TC-0911</t>
  </si>
  <si>
    <t>Talent Search - Keyword search.</t>
  </si>
  <si>
    <t>1. Set up preconditions: User account exists and is authenticated where applicable.
2. Perform the action described: "Keyword search."
3. Observe system behaviour.</t>
  </si>
  <si>
    <t>System behaves exactly as specified: Keyword search.</t>
  </si>
  <si>
    <t>TC-0912</t>
  </si>
  <si>
    <t>Talent Search - Semantic search.</t>
  </si>
  <si>
    <t>1. Set up preconditions: User account exists and is authenticated where applicable.
2. Perform the action described: "Semantic search."
3. Observe system behaviour.</t>
  </si>
  <si>
    <t>System behaves exactly as specified: Semantic search.</t>
  </si>
  <si>
    <t>TC-0913</t>
  </si>
  <si>
    <t>Talent Search - Multiple filters.</t>
  </si>
  <si>
    <t>1. Set up preconditions: User account exists and is authenticated where applicable.
2. Perform the action described: "Multiple filters."
3. Observe system behaviour.</t>
  </si>
  <si>
    <t>System behaves exactly as specified: Multiple filters.</t>
  </si>
  <si>
    <t>TC-0914</t>
  </si>
  <si>
    <t>Talent Search - Fast response.</t>
  </si>
  <si>
    <t>1. Set up preconditions: User account exists and is authenticated where applicable.
2. Perform the action described: "Fast response."
3. Observe system behaviour.</t>
  </si>
  <si>
    <t>System behaves exactly as specified: Fast response.</t>
  </si>
  <si>
    <t>TC-0915</t>
  </si>
  <si>
    <t>Talent Search - Access denied for unauthorized role (Super Admin)</t>
  </si>
  <si>
    <t>1. Log in as Super Admin.
2. Attempt to access/perform: "Talent Search".</t>
  </si>
  <si>
    <t>TC-0916</t>
  </si>
  <si>
    <t>Talent Search - Access denied for unauthorized role (Recruiter)</t>
  </si>
  <si>
    <t>1. Log in as Recruiter.
2. Attempt to access/perform: "Talent Search".</t>
  </si>
  <si>
    <t>TC-0917</t>
  </si>
  <si>
    <t>Talent Search - Access denied for unauthorized role (Candidate)</t>
  </si>
  <si>
    <t>1. Log in as Candidate.
2. Attempt to access/perform: "Talent Search".</t>
  </si>
  <si>
    <t>TC-0918</t>
  </si>
  <si>
    <t>Talent Search - Displays correctly when no data is available</t>
  </si>
  <si>
    <t>TC-0919</t>
  </si>
  <si>
    <t>Talent Search - Handles large dataset with pagination correctly</t>
  </si>
  <si>
    <t>TC-0920</t>
  </si>
  <si>
    <t>Employee Achievements - Achievements listed.</t>
  </si>
  <si>
    <t>1. Set up preconditions: User account exists and is authenticated where applicable.
2. Perform the action described: "Achievements listed."
3. Observe system behaviour.</t>
  </si>
  <si>
    <t>System behaves exactly as specified: Achievements listed.</t>
  </si>
  <si>
    <t>TC-0921</t>
  </si>
  <si>
    <t>Employee Achievements - Timeline view.</t>
  </si>
  <si>
    <t>1. Set up preconditions: User account exists and is authenticated where applicable.
2. Perform the action described: "Timeline view."
3. Observe system behaviour.</t>
  </si>
  <si>
    <t>System behaves exactly as specified: Timeline view.</t>
  </si>
  <si>
    <t>TC-0922</t>
  </si>
  <si>
    <t>Employee Achievements - Share internally.</t>
  </si>
  <si>
    <t>1. Set up preconditions: User account exists and is authenticated where applicable.
2. Perform the action described: "Share internally."
3. Observe system behaviour.</t>
  </si>
  <si>
    <t>System behaves exactly as specified: Share internally.</t>
  </si>
  <si>
    <t>TC-0923</t>
  </si>
  <si>
    <t>Employee Achievements - Access denied for unauthorized role (Super Admin)</t>
  </si>
  <si>
    <t>1. Log in as Super Admin.
2. Attempt to access/perform: "Employee Achievements".</t>
  </si>
  <si>
    <t>TC-0924</t>
  </si>
  <si>
    <t>Employee Achievements - Access denied for unauthorized role (Recruiter)</t>
  </si>
  <si>
    <t>1. Log in as Recruiter.
2. Attempt to access/perform: "Employee Achievements".</t>
  </si>
  <si>
    <t>TC-0925</t>
  </si>
  <si>
    <t>Employee Achievements - Access denied for unauthorized role (Candidate)</t>
  </si>
  <si>
    <t>1. Log in as Candidate.
2. Attempt to access/perform: "Employee Achievements".</t>
  </si>
  <si>
    <t>TC-0926</t>
  </si>
  <si>
    <t>Talent Analytics - Interactive charts.</t>
  </si>
  <si>
    <t>1. Set up preconditions: User account exists and is authenticated where applicable.
2. Perform the action described: "Interactive charts."
3. Observe system behaviour.</t>
  </si>
  <si>
    <t>System behaves exactly as specified: Interactive charts.</t>
  </si>
  <si>
    <t>TC-0927</t>
  </si>
  <si>
    <t>Talent Analytics - Export supported.</t>
  </si>
  <si>
    <t>TC-0928</t>
  </si>
  <si>
    <t>Talent Analytics - Department filter available.</t>
  </si>
  <si>
    <t>1. Set up preconditions: User account exists and is authenticated where applicable.
2. Perform the action described: "Department filter available."
3. Observe system behaviour.</t>
  </si>
  <si>
    <t>System behaves exactly as specified: Department filter available.</t>
  </si>
  <si>
    <t>TC-0929</t>
  </si>
  <si>
    <t>Talent Analytics - Access denied for unauthorized role (Super Admin)</t>
  </si>
  <si>
    <t>1. Log in as Super Admin.
2. Attempt to access/perform: "Talent Analytics".</t>
  </si>
  <si>
    <t>TC-0930</t>
  </si>
  <si>
    <t>Talent Analytics - Access denied for unauthorized role (Recruiter)</t>
  </si>
  <si>
    <t>1. Log in as Recruiter.
2. Attempt to access/perform: "Talent Analytics".</t>
  </si>
  <si>
    <t>TC-0931</t>
  </si>
  <si>
    <t>Talent Analytics - Access denied for unauthorized role (Candidate)</t>
  </si>
  <si>
    <t>1. Log in as Candidate.
2. Attempt to access/perform: "Talent Analytics".</t>
  </si>
  <si>
    <t>TC-0932</t>
  </si>
  <si>
    <t>Talent Analytics - Displays correctly when no data is available</t>
  </si>
  <si>
    <t>TC-0933</t>
  </si>
  <si>
    <t>Talent Analytics - Handles large dataset with pagination correctly</t>
  </si>
  <si>
    <t>TC-0934</t>
  </si>
  <si>
    <t>Career Development Plan - Plan generated.</t>
  </si>
  <si>
    <t>1. Set up preconditions: User account exists and is authenticated where applicable.
2. Perform the action described: "Plan generated."
3. Observe system behaviour.</t>
  </si>
  <si>
    <t>System behaves exactly as specified: Plan generated.</t>
  </si>
  <si>
    <t>TC-0935</t>
  </si>
  <si>
    <t>Career Development Plan - Editable by Recruiter.</t>
  </si>
  <si>
    <t>1. Set up preconditions: User account exists and is authenticated where applicable.
2. Perform the action described: "Editable by Recruiter."
3. Observe system behaviour.</t>
  </si>
  <si>
    <t>System behaves exactly as specified: Editable by Recruiter.</t>
  </si>
  <si>
    <t>TC-0936</t>
  </si>
  <si>
    <t>Career Development Plan - Progress tracked.</t>
  </si>
  <si>
    <t>TC-0937</t>
  </si>
  <si>
    <t>Career Development Plan - Access denied for unauthorized role (Super Admin)</t>
  </si>
  <si>
    <t>1. Log in as Super Admin.
2. Attempt to access/perform: "Career Development Plan".</t>
  </si>
  <si>
    <t>TC-0938</t>
  </si>
  <si>
    <t>Career Development Plan - Access denied for unauthorized role (Recruiter)</t>
  </si>
  <si>
    <t>1. Log in as Recruiter.
2. Attempt to access/perform: "Career Development Plan".</t>
  </si>
  <si>
    <t>TC-0939</t>
  </si>
  <si>
    <t>Career Development Plan - Access denied for unauthorized role (Candidate)</t>
  </si>
  <si>
    <t>1. Log in as Candidate.
2. Attempt to access/perform: "Career Development Plan".</t>
  </si>
  <si>
    <t>TC-0940</t>
  </si>
  <si>
    <t>Talent Profile - All modules integrated.</t>
  </si>
  <si>
    <t>1. Set up preconditions: User account exists and is authenticated where applicable.
2. Perform the action described: "All modules integrated."
3. Observe system behaviour.</t>
  </si>
  <si>
    <t>System behaves exactly as specified: All modules integrated.</t>
  </si>
  <si>
    <t>TC-0941</t>
  </si>
  <si>
    <t>Talent Profile - Single unified profile.</t>
  </si>
  <si>
    <t>1. Set up preconditions: User account exists and is authenticated where applicable.
2. Perform the action described: "Single unified profile."
3. Observe system behaviour.</t>
  </si>
  <si>
    <t>System behaves exactly as specified: Single unified profile.</t>
  </si>
  <si>
    <t>TC-0942</t>
  </si>
  <si>
    <t>Talent Profile - Export PDF.</t>
  </si>
  <si>
    <t>TC-0943</t>
  </si>
  <si>
    <t>Talent Profile - Searchable.</t>
  </si>
  <si>
    <t>TC-0944</t>
  </si>
  <si>
    <t>Talent Profile - Accessible according to permissions.</t>
  </si>
  <si>
    <t>1. Set up preconditions: User account exists and is authenticated where applicable.
2. Perform the action described: "Accessible according to permissions."
3. Observe system behaviour.</t>
  </si>
  <si>
    <t>System behaves exactly as specified: Accessible according to permissions.</t>
  </si>
  <si>
    <t>TC-0945</t>
  </si>
  <si>
    <t>Talent Profile - API 'GET /api/talent/profile/{employeeId}' returns success for valid authorized request</t>
  </si>
  <si>
    <t>1. Obtain a valid authentication token for role 'User'.
2. Send request: GET /api/talent/profile/{employeeId} with valid payload/parameters.
3. Inspect the response.</t>
  </si>
  <si>
    <t>TC-0946</t>
  </si>
  <si>
    <t>Talent Profile - API 'GET /api/talent/profile/{employeeId}' rejects unauthorized/unauthenticated request</t>
  </si>
  <si>
    <t>1. Send request: GET /api/talent/profile/{employeeId} without a valid authentication token.
2. Inspect the response.</t>
  </si>
  <si>
    <t>TC-0947</t>
  </si>
  <si>
    <t>Talent Profile - API 'GET /api/talent/profile/{employeeId}' handles invalid/malformed payload</t>
  </si>
  <si>
    <t>1. Obtain a valid authentication token for role 'User'.
2. Send request: GET /api/talent/profile/{employeeId} with missing required fields or malformed JSON.
3. Inspect the response.</t>
  </si>
  <si>
    <t>TC-0948</t>
  </si>
  <si>
    <t>Talent Profile - API 'GET /api/talent/profile/{employeeId}' handles non-existent resource gracefully</t>
  </si>
  <si>
    <t>1. Obtain a valid authentication token for role 'User'.
2. Send request: GET /api/talent/profile/{employeeId} referencing an ID that does not exist.
3. Inspect the response.</t>
  </si>
  <si>
    <t>TC-0949</t>
  </si>
  <si>
    <t>Talent Profile - Access denied for unauthorized role (Super Admin)</t>
  </si>
  <si>
    <t>1. Log in as Super Admin.
2. Attempt to access/perform: "Talent Profile".</t>
  </si>
  <si>
    <t>TC-0950</t>
  </si>
  <si>
    <t>Talent Profile - Access denied for unauthorized role (Recruiter)</t>
  </si>
  <si>
    <t>1. Log in as Recruiter.
2. Attempt to access/perform: "Talent Profile".</t>
  </si>
  <si>
    <t>TC-0951</t>
  </si>
  <si>
    <t>Talent Profile - Access denied for unauthorized role (Candidate)</t>
  </si>
  <si>
    <t>1. Log in as Candidate.
2. Attempt to access/perform: "Talent Profile".</t>
  </si>
  <si>
    <t>TC-0952</t>
  </si>
  <si>
    <t>Phase 4 -- AI Coaching</t>
  </si>
  <si>
    <t>AI HR Assistant - AI responds within 5 seconds.</t>
  </si>
  <si>
    <t>1. Set up preconditions: Candidate (Employee) account exists and is authenticated where applicable.
2. Perform the action described: "AI responds within 5 seconds."
3. Observe system behaviour.</t>
  </si>
  <si>
    <t>System behaves exactly as specified: AI responds within 5 seconds.</t>
  </si>
  <si>
    <t>TC-0953</t>
  </si>
  <si>
    <t>AI HR Assistant - Responses use company documents.</t>
  </si>
  <si>
    <t>1. Set up preconditions: Candidate (Employee) account exists and is authenticated where applicable.
2. Perform the action described: "Responses use company documents."
3. Observe system behaviour.</t>
  </si>
  <si>
    <t>System behaves exactly as specified: Responses use company documents.</t>
  </si>
  <si>
    <t>TC-0954</t>
  </si>
  <si>
    <t>AI HR Assistant - Sources are displayed.</t>
  </si>
  <si>
    <t>1. Set up preconditions: Candidate (Employee) account exists and is authenticated where applicable.
2. Perform the action described: "Sources are displayed."
3. Observe system behaviour.</t>
  </si>
  <si>
    <t>System behaves exactly as specified: Sources are displayed.</t>
  </si>
  <si>
    <t>TC-0955</t>
  </si>
  <si>
    <t>AI HR Assistant - Conversation history maintained.</t>
  </si>
  <si>
    <t>1. Set up preconditions: Candidate (Employee) account exists and is authenticated where applicable.
2. Perform the action described: "Conversation history maintained."
3. Observe system behaviour.</t>
  </si>
  <si>
    <t>System behaves exactly as specified: Conversation history maintained.</t>
  </si>
  <si>
    <t>TC-0956</t>
  </si>
  <si>
    <t>AI HR Assistant - Unauthorized information is not exposed.</t>
  </si>
  <si>
    <t>1. Set up preconditions: Candidate (Employee) account exists and is authenticated where applicable.
2. Perform the action described: "Unauthorized information is not exposed."
3. Observe system behaviour.</t>
  </si>
  <si>
    <t>System behaves exactly as specified: Unauthorized information is not exposed.</t>
  </si>
  <si>
    <t>TC-0957</t>
  </si>
  <si>
    <t>AI HR Assistant - API 'POST /api/ai/hr-assistant' returns success for valid authorized request</t>
  </si>
  <si>
    <t>1. Obtain a valid authentication token for role 'Candidate (Employee)'.
2. Send request: POST /api/ai/hr-assistant with valid payload/parameters.
3. Inspect the response.</t>
  </si>
  <si>
    <t>TC-0958</t>
  </si>
  <si>
    <t>AI HR Assistant - API 'POST /api/ai/hr-assistant' rejects unauthorized/unauthenticated request</t>
  </si>
  <si>
    <t>1. Send request: POST /api/ai/hr-assistant without a valid authentication token.
2. Inspect the response.</t>
  </si>
  <si>
    <t>TC-0959</t>
  </si>
  <si>
    <t>AI HR Assistant - API 'POST /api/ai/hr-assistant' handles invalid/malformed payload</t>
  </si>
  <si>
    <t>1. Obtain a valid authentication token for role 'Candidate (Employee)'.
2. Send request: POST /api/ai/hr-assistant with missing required fields or malformed JSON.
3. Inspect the response.</t>
  </si>
  <si>
    <t>TC-0960</t>
  </si>
  <si>
    <t>AI HR Assistant - API 'POST /api/ai/hr-assistant' handles non-existent resource gracefully</t>
  </si>
  <si>
    <t>1. Obtain a valid authentication token for role 'Candidate (Employee)'.
2. Send request: POST /api/ai/hr-assistant referencing an ID that does not exist.
3. Inspect the response.</t>
  </si>
  <si>
    <t>TC-0961</t>
  </si>
  <si>
    <t>AI HR Assistant - Access denied for unauthorized role (Super Admin)</t>
  </si>
  <si>
    <t>1. Log in as Super Admin.
2. Attempt to access/perform: "AI HR Assistant".</t>
  </si>
  <si>
    <t>TC-0962</t>
  </si>
  <si>
    <t>AI HR Assistant - Access denied for unauthorized role (Recruiter)</t>
  </si>
  <si>
    <t>1. Log in as Recruiter.
2. Attempt to access/perform: "AI HR Assistant".</t>
  </si>
  <si>
    <t>TC-0963</t>
  </si>
  <si>
    <t>AI HR Assistant - Access denied for unauthorized role (Candidate)</t>
  </si>
  <si>
    <t>1. Log in as Candidate.
2. Attempt to access/perform: "AI HR Assistant".</t>
  </si>
  <si>
    <t>TC-0964</t>
  </si>
  <si>
    <t>AI Career Coach - Personalized advice.</t>
  </si>
  <si>
    <t>1. Set up preconditions: User account exists and is authenticated where applicable.
2. Perform the action described: "Personalized advice."
3. Observe system behaviour.</t>
  </si>
  <si>
    <t>System behaves exactly as specified: Personalized advice.</t>
  </si>
  <si>
    <t>TC-0965</t>
  </si>
  <si>
    <t>AI Career Coach - Explainable recommendations.</t>
  </si>
  <si>
    <t>1. Set up preconditions: User account exists and is authenticated where applicable.
2. Perform the action described: "Explainable recommendations."
3. Observe system behaviour.</t>
  </si>
  <si>
    <t>System behaves exactly as specified: Explainable recommendations.</t>
  </si>
  <si>
    <t>TC-0966</t>
  </si>
  <si>
    <t>AI Career Coach - Based on employee profile.</t>
  </si>
  <si>
    <t>1. Set up preconditions: User account exists and is authenticated where applicable.
2. Perform the action described: "Based on employee profile."
3. Observe system behaviour.</t>
  </si>
  <si>
    <t>System behaves exactly as specified: Based on employee profile.</t>
  </si>
  <si>
    <t>TC-0967</t>
  </si>
  <si>
    <t>AI Career Coach - Access denied for unauthorized role (Super Admin)</t>
  </si>
  <si>
    <t>1. Log in as Super Admin.
2. Attempt to access/perform: "AI Career Coach".</t>
  </si>
  <si>
    <t>TC-0968</t>
  </si>
  <si>
    <t>AI Career Coach - Access denied for unauthorized role (Recruiter)</t>
  </si>
  <si>
    <t>1. Log in as Recruiter.
2. Attempt to access/perform: "AI Career Coach".</t>
  </si>
  <si>
    <t>TC-0969</t>
  </si>
  <si>
    <t>AI Career Coach - Access denied for unauthorized role (Candidate)</t>
  </si>
  <si>
    <t>1. Log in as Candidate.
2. Attempt to access/perform: "AI Career Coach".</t>
  </si>
  <si>
    <t>TC-0970</t>
  </si>
  <si>
    <t>AI Learning Coach - Recommendations updated.</t>
  </si>
  <si>
    <t>1. Set up preconditions: User account exists and is authenticated where applicable.
2. Perform the action described: "Recommendations updated."
3. Observe system behaviour.</t>
  </si>
  <si>
    <t>System behaves exactly as specified: Recommendations updated.</t>
  </si>
  <si>
    <t>TC-0971</t>
  </si>
  <si>
    <t>AI Learning Coach - Courses ranked.</t>
  </si>
  <si>
    <t>1. Set up preconditions: User account exists and is authenticated where applicable.
2. Perform the action described: "Courses ranked."
3. Observe system behaviour.</t>
  </si>
  <si>
    <t>System behaves exactly as specified: Courses ranked.</t>
  </si>
  <si>
    <t>TC-0972</t>
  </si>
  <si>
    <t>AI Learning Coach - Employee can enroll directly.</t>
  </si>
  <si>
    <t>1. Set up preconditions: User account exists and is authenticated where applicable.
2. Perform the action described: "Employee can enroll directly."
3. Observe system behaviour.</t>
  </si>
  <si>
    <t>System behaves exactly as specified: Employee can enroll directly.</t>
  </si>
  <si>
    <t>TC-0973</t>
  </si>
  <si>
    <t>AI Learning Coach - Access denied for unauthorized role (Super Admin)</t>
  </si>
  <si>
    <t>1. Log in as Super Admin.
2. Attempt to access/perform: "AI Learning Coach".</t>
  </si>
  <si>
    <t>TC-0974</t>
  </si>
  <si>
    <t>AI Learning Coach - Access denied for unauthorized role (Recruiter)</t>
  </si>
  <si>
    <t>1. Log in as Recruiter.
2. Attempt to access/perform: "AI Learning Coach".</t>
  </si>
  <si>
    <t>TC-0975</t>
  </si>
  <si>
    <t>AI Learning Coach - Access denied for unauthorized role (Candidate)</t>
  </si>
  <si>
    <t>1. Log in as Candidate.
2. Attempt to access/perform: "AI Learning Coach".</t>
  </si>
  <si>
    <t>TC-0976</t>
  </si>
  <si>
    <t>AI Performance Coach - Performance summary generated.</t>
  </si>
  <si>
    <t>1. Set up preconditions: User account exists and is authenticated where applicable.
2. Perform the action described: "Performance summary generated."
3. Observe system behaviour.</t>
  </si>
  <si>
    <t>System behaves exactly as specified: Performance summary generated.</t>
  </si>
  <si>
    <t>TC-0977</t>
  </si>
  <si>
    <t>AI Performance Coach - Actionable recommendations.</t>
  </si>
  <si>
    <t>1. Set up preconditions: User account exists and is authenticated where applicable.
2. Perform the action described: "Actionable recommendations."
3. Observe system behaviour.</t>
  </si>
  <si>
    <t>System behaves exactly as specified: Actionable recommendations.</t>
  </si>
  <si>
    <t>TC-0978</t>
  </si>
  <si>
    <t>AI Performance Coach - Easy-to-read report.</t>
  </si>
  <si>
    <t>1. Set up preconditions: User account exists and is authenticated where applicable.
2. Perform the action described: "Easy-to-read report."
3. Observe system behaviour.</t>
  </si>
  <si>
    <t>System behaves exactly as specified: Easy-to-read report.</t>
  </si>
  <si>
    <t>TC-0979</t>
  </si>
  <si>
    <t>AI Performance Coach - Access denied for unauthorized role (Super Admin)</t>
  </si>
  <si>
    <t>1. Log in as Super Admin.
2. Attempt to access/perform: "AI Performance Coach".</t>
  </si>
  <si>
    <t>TC-0980</t>
  </si>
  <si>
    <t>AI Performance Coach - Access denied for unauthorized role (Recruiter)</t>
  </si>
  <si>
    <t>1. Log in as Recruiter.
2. Attempt to access/perform: "AI Performance Coach".</t>
  </si>
  <si>
    <t>TC-0981</t>
  </si>
  <si>
    <t>AI Performance Coach - Access denied for unauthorized role (Candidate)</t>
  </si>
  <si>
    <t>1. Log in as Candidate.
2. Attempt to access/perform: "AI Performance Coach".</t>
  </si>
  <si>
    <t>TC-0982</t>
  </si>
  <si>
    <t>AI Goal Generator - SMART format.</t>
  </si>
  <si>
    <t>1. Set up preconditions: User account exists and is authenticated where applicable.
2. Perform the action described: "SMART format."
3. Observe system behaviour.</t>
  </si>
  <si>
    <t>System behaves exactly as specified: SMART format.</t>
  </si>
  <si>
    <t>TC-0983</t>
  </si>
  <si>
    <t>AI Goal Generator - Editable.</t>
  </si>
  <si>
    <t>1. Set up preconditions: User account exists and is authenticated where applicable.
2. Perform the action described: "Editable."
3. Observe system behaviour.</t>
  </si>
  <si>
    <t>System behaves exactly as specified: Editable.</t>
  </si>
  <si>
    <t>TC-0984</t>
  </si>
  <si>
    <t>AI Goal Generator - Multiple suggestions.</t>
  </si>
  <si>
    <t>1. Set up preconditions: User account exists and is authenticated where applicable.
2. Perform the action described: "Multiple suggestions."
3. Observe system behaviour.</t>
  </si>
  <si>
    <t>System behaves exactly as specified: Multiple suggestions.</t>
  </si>
  <si>
    <t>TC-0985</t>
  </si>
  <si>
    <t>AI Goal Generator - Access denied for unauthorized role (Super Admin)</t>
  </si>
  <si>
    <t>1. Log in as Super Admin.
2. Attempt to access/perform: "AI Goal Generator".</t>
  </si>
  <si>
    <t>TC-0986</t>
  </si>
  <si>
    <t>AI Goal Generator - Access denied for unauthorized role (Recruiter)</t>
  </si>
  <si>
    <t>1. Log in as Recruiter.
2. Attempt to access/perform: "AI Goal Generator".</t>
  </si>
  <si>
    <t>TC-0987</t>
  </si>
  <si>
    <t>AI Goal Generator - Access denied for unauthorized role (Candidate)</t>
  </si>
  <si>
    <t>1. Log in as Candidate.
2. Attempt to access/perform: "AI Goal Generator".</t>
  </si>
  <si>
    <t>TC-0988</t>
  </si>
  <si>
    <t>AI Resume Review - Resume score.</t>
  </si>
  <si>
    <t>1. Set up preconditions: User account exists and is authenticated where applicable.
2. Perform the action described: "Resume score."
3. Observe system behaviour.</t>
  </si>
  <si>
    <t>System behaves exactly as specified: Resume score.</t>
  </si>
  <si>
    <t>TC-0989</t>
  </si>
  <si>
    <t>AI Resume Review - Suggestions.</t>
  </si>
  <si>
    <t>1. Set up preconditions: User account exists and is authenticated where applicable.
2. Perform the action described: "Suggestions."
3. Observe system behaviour.</t>
  </si>
  <si>
    <t>System behaves exactly as specified: Suggestions.</t>
  </si>
  <si>
    <t>TC-0990</t>
  </si>
  <si>
    <t>AI Resume Review - Downloadable report.</t>
  </si>
  <si>
    <t>1. Set up preconditions: User account exists and is authenticated where applicable.
2. Perform the action described: "Downloadable report."
3. Observe system behaviour.</t>
  </si>
  <si>
    <t>System behaves exactly as specified: Downloadable report.</t>
  </si>
  <si>
    <t>TC-0991</t>
  </si>
  <si>
    <t>AI Resume Review - Access denied for unauthorized role (Super Admin)</t>
  </si>
  <si>
    <t>1. Log in as Super Admin.
2. Attempt to access/perform: "AI Resume Review".</t>
  </si>
  <si>
    <t>TC-0992</t>
  </si>
  <si>
    <t>AI Resume Review - Access denied for unauthorized role (Recruiter)</t>
  </si>
  <si>
    <t>1. Log in as Recruiter.
2. Attempt to access/perform: "AI Resume Review".</t>
  </si>
  <si>
    <t>TC-0993</t>
  </si>
  <si>
    <t>AI Resume Review - Access denied for unauthorized role (Candidate)</t>
  </si>
  <si>
    <t>1. Log in as Candidate.
2. Attempt to access/perform: "AI Resume Review".</t>
  </si>
  <si>
    <t>TC-0994</t>
  </si>
  <si>
    <t>AI Policy Search - Semantic search.</t>
  </si>
  <si>
    <t>TC-0995</t>
  </si>
  <si>
    <t>AI Policy Search - Sources displayed.</t>
  </si>
  <si>
    <t>1. Set up preconditions: User account exists and is authenticated where applicable.
2. Perform the action described: "Sources displayed."
3. Observe system behaviour.</t>
  </si>
  <si>
    <t>System behaves exactly as specified: Sources displayed.</t>
  </si>
  <si>
    <t>TC-0996</t>
  </si>
  <si>
    <t>AI Policy Search - Accurate retrieval.</t>
  </si>
  <si>
    <t>1. Set up preconditions: User account exists and is authenticated where applicable.
2. Perform the action described: "Accurate retrieval."
3. Observe system behaviour.</t>
  </si>
  <si>
    <t>System behaves exactly as specified: Accurate retrieval.</t>
  </si>
  <si>
    <t>TC-0997</t>
  </si>
  <si>
    <t>AI Policy Search - Access denied for unauthorized role (Super Admin)</t>
  </si>
  <si>
    <t>1. Log in as Super Admin.
2. Attempt to access/perform: "AI Policy Search".</t>
  </si>
  <si>
    <t>TC-0998</t>
  </si>
  <si>
    <t>AI Policy Search - Access denied for unauthorized role (Recruiter)</t>
  </si>
  <si>
    <t>1. Log in as Recruiter.
2. Attempt to access/perform: "AI Policy Search".</t>
  </si>
  <si>
    <t>TC-0999</t>
  </si>
  <si>
    <t>AI Policy Search - Access denied for unauthorized role (Candidate)</t>
  </si>
  <si>
    <t>1. Log in as Candidate.
2. Attempt to access/perform: "AI Policy Search".</t>
  </si>
  <si>
    <t>TC-1000</t>
  </si>
  <si>
    <t>AI Policy Search - Displays correctly when no data is available</t>
  </si>
  <si>
    <t>TC-1001</t>
  </si>
  <si>
    <t>AI Policy Search - Handles large dataset with pagination correctly</t>
  </si>
  <si>
    <t>TC-1002</t>
  </si>
  <si>
    <t>AI Document Understanding - Summary generated.</t>
  </si>
  <si>
    <t>1. Set up preconditions: User account exists and is authenticated where applicable.
2. Perform the action described: "Summary generated."
3. Observe system behaviour.</t>
  </si>
  <si>
    <t>System behaves exactly as specified: Summary generated.</t>
  </si>
  <si>
    <t>TC-1003</t>
  </si>
  <si>
    <t>AI Document Understanding - Important clauses extracted.</t>
  </si>
  <si>
    <t>1. Set up preconditions: User account exists and is authenticated where applicable.
2. Perform the action described: "Important clauses extracted."
3. Observe system behaviour.</t>
  </si>
  <si>
    <t>System behaves exactly as specified: Important clauses extracted.</t>
  </si>
  <si>
    <t>TC-1004</t>
  </si>
  <si>
    <t>AI Document Understanding - Download supported.</t>
  </si>
  <si>
    <t>TC-1005</t>
  </si>
  <si>
    <t>AI Document Understanding - Access denied for unauthorized role (Super Admin)</t>
  </si>
  <si>
    <t>1. Log in as Super Admin.
2. Attempt to access/perform: "AI Document Understanding".</t>
  </si>
  <si>
    <t>TC-1006</t>
  </si>
  <si>
    <t>AI Document Understanding - Access denied for unauthorized role (Recruiter)</t>
  </si>
  <si>
    <t>1. Log in as Recruiter.
2. Attempt to access/perform: "AI Document Understanding".</t>
  </si>
  <si>
    <t>TC-1007</t>
  </si>
  <si>
    <t>AI Document Understanding - Access denied for unauthorized role (Candidate)</t>
  </si>
  <si>
    <t>1. Log in as Candidate.
2. Attempt to access/perform: "AI Document Understanding".</t>
  </si>
  <si>
    <t>TC-1008</t>
  </si>
  <si>
    <t>AI Conversation History - History saved.</t>
  </si>
  <si>
    <t>1. Set up preconditions: User account exists and is authenticated where applicable.
2. Perform the action described: "History saved."
3. Observe system behaviour.</t>
  </si>
  <si>
    <t>System behaves exactly as specified: History saved.</t>
  </si>
  <si>
    <t>TC-1009</t>
  </si>
  <si>
    <t>AI Conversation History - Search available.</t>
  </si>
  <si>
    <t>TC-1010</t>
  </si>
  <si>
    <t>AI Conversation History - User-specific storage.</t>
  </si>
  <si>
    <t>1. Set up preconditions: User account exists and is authenticated where applicable.
2. Perform the action described: "User-specific storage."
3. Observe system behaviour.</t>
  </si>
  <si>
    <t>System behaves exactly as specified: User-specific storage.</t>
  </si>
  <si>
    <t>TC-1011</t>
  </si>
  <si>
    <t>AI Conversation History - Access denied for unauthorized role (Super Admin)</t>
  </si>
  <si>
    <t>1. Log in as Super Admin.
2. Attempt to access/perform: "AI Conversation History".</t>
  </si>
  <si>
    <t>TC-1012</t>
  </si>
  <si>
    <t>AI Conversation History - Access denied for unauthorized role (Recruiter)</t>
  </si>
  <si>
    <t>1. Log in as Recruiter.
2. Attempt to access/perform: "AI Conversation History".</t>
  </si>
  <si>
    <t>TC-1013</t>
  </si>
  <si>
    <t>AI Conversation History - Access denied for unauthorized role (Candidate)</t>
  </si>
  <si>
    <t>1. Log in as Candidate.
2. Attempt to access/perform: "AI Conversation History".</t>
  </si>
  <si>
    <t>TC-1014</t>
  </si>
  <si>
    <t>Conversation Memory - Context retained.</t>
  </si>
  <si>
    <t>1. Set up preconditions: User account exists and is authenticated where applicable.
2. Perform the action described: "Context retained."
3. Observe system behaviour.</t>
  </si>
  <si>
    <t>System behaves exactly as specified: Context retained.</t>
  </si>
  <si>
    <t>TC-1015</t>
  </si>
  <si>
    <t>Conversation Memory - Follow-up supported.</t>
  </si>
  <si>
    <t>1. Set up preconditions: User account exists and is authenticated where applicable.
2. Perform the action described: "Follow-up supported."
3. Observe system behaviour.</t>
  </si>
  <si>
    <t>System behaves exactly as specified: Follow-up supported.</t>
  </si>
  <si>
    <t>TC-1016</t>
  </si>
  <si>
    <t>Conversation Memory - Session expires securely.</t>
  </si>
  <si>
    <t>1. Set up preconditions: User account exists and is authenticated where applicable.
2. Perform the action described: "Session expires securely."
3. Observe system behaviour.</t>
  </si>
  <si>
    <t>System behaves exactly as specified: Session expires securely.</t>
  </si>
  <si>
    <t>TC-1017</t>
  </si>
  <si>
    <t>Conversation Memory - Access denied for unauthorized role (Super Admin)</t>
  </si>
  <si>
    <t>1. Log in as Super Admin.
2. Attempt to access/perform: "Conversation Memory".</t>
  </si>
  <si>
    <t>TC-1018</t>
  </si>
  <si>
    <t>Conversation Memory - Access denied for unauthorized role (Recruiter)</t>
  </si>
  <si>
    <t>1. Log in as Recruiter.
2. Attempt to access/perform: "Conversation Memory".</t>
  </si>
  <si>
    <t>TC-1019</t>
  </si>
  <si>
    <t>Conversation Memory - Access denied for unauthorized role (Candidate)</t>
  </si>
  <si>
    <t>1. Log in as Candidate.
2. Attempt to access/perform: "Conversation Memory".</t>
  </si>
  <si>
    <t>TC-1020</t>
  </si>
  <si>
    <t>AI Feedback - Rating stored.</t>
  </si>
  <si>
    <t>1. Set up preconditions: User account exists and is authenticated where applicable.
2. Perform the action described: "Rating stored."
3. Observe system behaviour.</t>
  </si>
  <si>
    <t>System behaves exactly as specified: Rating stored.</t>
  </si>
  <si>
    <t>TC-1021</t>
  </si>
  <si>
    <t>AI Feedback - Analytics updated.</t>
  </si>
  <si>
    <t>1. Set up preconditions: User account exists and is authenticated where applicable.
2. Perform the action described: "Analytics updated."
3. Observe system behaviour.</t>
  </si>
  <si>
    <t>System behaves exactly as specified: Analytics updated.</t>
  </si>
  <si>
    <t>TC-1022</t>
  </si>
  <si>
    <t>AI Feedback - Access denied for unauthorized role (Super Admin)</t>
  </si>
  <si>
    <t>1. Log in as Super Admin.
2. Attempt to access/perform: "AI Feedback".</t>
  </si>
  <si>
    <t>TC-1023</t>
  </si>
  <si>
    <t>AI Feedback - Access denied for unauthorized role (Recruiter)</t>
  </si>
  <si>
    <t>1. Log in as Recruiter.
2. Attempt to access/perform: "AI Feedback".</t>
  </si>
  <si>
    <t>TC-1024</t>
  </si>
  <si>
    <t>AI Feedback - Access denied for unauthorized role (Candidate)</t>
  </si>
  <si>
    <t>1. Log in as Candidate.
2. Attempt to access/perform: "AI Feedback".</t>
  </si>
  <si>
    <t>TC-1025</t>
  </si>
  <si>
    <t>Prompt Templates - Templates visible.</t>
  </si>
  <si>
    <t>1. Set up preconditions: User account exists and is authenticated where applicable.
2. Perform the action described: "Templates visible."
3. Observe system behaviour.</t>
  </si>
  <si>
    <t>System behaves exactly as specified: Templates visible.</t>
  </si>
  <si>
    <t>TC-1026</t>
  </si>
  <si>
    <t>Prompt Templates - One-click execution.</t>
  </si>
  <si>
    <t>1. Set up preconditions: User account exists and is authenticated where applicable.
2. Perform the action described: "One-click execution."
3. Observe system behaviour.</t>
  </si>
  <si>
    <t>System behaves exactly as specified: One-click execution.</t>
  </si>
  <si>
    <t>TC-1027</t>
  </si>
  <si>
    <t>Prompt Templates - Access denied for unauthorized role (Super Admin)</t>
  </si>
  <si>
    <t>1. Log in as Super Admin.
2. Attempt to access/perform: "Prompt Templates".</t>
  </si>
  <si>
    <t>TC-1028</t>
  </si>
  <si>
    <t>Prompt Templates - Access denied for unauthorized role (Recruiter)</t>
  </si>
  <si>
    <t>1. Log in as Recruiter.
2. Attempt to access/perform: "Prompt Templates".</t>
  </si>
  <si>
    <t>TC-1029</t>
  </si>
  <si>
    <t>Prompt Templates - Access denied for unauthorized role (Candidate)</t>
  </si>
  <si>
    <t>1. Log in as Candidate.
2. Attempt to access/perform: "Prompt Templates".</t>
  </si>
  <si>
    <t>TC-1030</t>
  </si>
  <si>
    <t>AI Notifications - Notification delivered.</t>
  </si>
  <si>
    <t>1. Set up preconditions: User account exists and is authenticated where applicable.
2. Perform the action described: "Notification delivered."
3. Observe system behaviour.</t>
  </si>
  <si>
    <t>System behaves exactly as specified: Notification delivered.</t>
  </si>
  <si>
    <t>TC-1031</t>
  </si>
  <si>
    <t>AI Notifications - Deep link supported.</t>
  </si>
  <si>
    <t>1. Set up preconditions: User account exists and is authenticated where applicable.
2. Perform the action described: "Deep link supported."
3. Observe system behaviour.</t>
  </si>
  <si>
    <t>System behaves exactly as specified: Deep link supported.</t>
  </si>
  <si>
    <t>TC-1032</t>
  </si>
  <si>
    <t>AI Notifications - Access denied for unauthorized role (Super Admin)</t>
  </si>
  <si>
    <t>1. Log in as Super Admin.
2. Attempt to access/perform: "AI Notifications".</t>
  </si>
  <si>
    <t>TC-1033</t>
  </si>
  <si>
    <t>AI Notifications - Access denied for unauthorized role (Recruiter)</t>
  </si>
  <si>
    <t>1. Log in as Recruiter.
2. Attempt to access/perform: "AI Notifications".</t>
  </si>
  <si>
    <t>TC-1034</t>
  </si>
  <si>
    <t>AI Notifications - Access denied for unauthorized role (Candidate)</t>
  </si>
  <si>
    <t>1. Log in as Candidate.
2. Attempt to access/perform: "AI Notifications".</t>
  </si>
  <si>
    <t>TC-1035</t>
  </si>
  <si>
    <t>AI Usage Analytics - Charts displayed.</t>
  </si>
  <si>
    <t>1. Set up preconditions: Recruiter account exists and is authenticated where applicable.
2. Perform the action described: "Charts displayed."
3. Observe system behaviour.</t>
  </si>
  <si>
    <t>TC-1036</t>
  </si>
  <si>
    <t>AI Usage Analytics - Export supported.</t>
  </si>
  <si>
    <t>1. Set up preconditions: Recruiter account exists and is authenticated where applicable.
2. Perform the action described: "Export supported."
3. Observe system behaviour.</t>
  </si>
  <si>
    <t>TC-1037</t>
  </si>
  <si>
    <t>AI Usage Analytics - Access denied for unauthorized role (Super Admin)</t>
  </si>
  <si>
    <t>1. Log in as Super Admin.
2. Attempt to access/perform: "AI Usage Analytics".</t>
  </si>
  <si>
    <t>TC-1038</t>
  </si>
  <si>
    <t>AI Usage Analytics - Access denied for unauthorized role (Candidate)</t>
  </si>
  <si>
    <t>1. Log in as Candidate.
2. Attempt to access/perform: "AI Usage Analytics".</t>
  </si>
  <si>
    <t>TC-1039</t>
  </si>
  <si>
    <t>AI Usage Analytics - Displays correctly when no data is available</t>
  </si>
  <si>
    <t>TC-1040</t>
  </si>
  <si>
    <t>AI Usage Analytics - Handles large dataset with pagination correctly</t>
  </si>
  <si>
    <t>TC-1041</t>
  </si>
  <si>
    <t>AI Executive Summary - Summary generated on demand.</t>
  </si>
  <si>
    <t>1. Set up preconditions: User account exists and is authenticated where applicable.
2. Perform the action described: "Summary generated on demand."
3. Observe system behaviour.</t>
  </si>
  <si>
    <t>System behaves exactly as specified: Summary generated on demand.</t>
  </si>
  <si>
    <t>TC-1042</t>
  </si>
  <si>
    <t>AI Executive Summary - Based only on employee data.</t>
  </si>
  <si>
    <t>1. Set up preconditions: User account exists and is authenticated where applicable.
2. Perform the action described: "Based only on employee data."
3. Observe system behaviour.</t>
  </si>
  <si>
    <t>System behaves exactly as specified: Based only on employee data.</t>
  </si>
  <si>
    <t>TC-1043</t>
  </si>
  <si>
    <t>AI Executive Summary - Downloadable as PDF.</t>
  </si>
  <si>
    <t>1. Set up preconditions: User account exists and is authenticated where applicable.
2. Perform the action described: "Downloadable as PDF."
3. Observe system behaviour.</t>
  </si>
  <si>
    <t>System behaves exactly as specified: Downloadable as PDF.</t>
  </si>
  <si>
    <t>TC-1044</t>
  </si>
  <si>
    <t>AI Executive Summary - Explainable recommendations provided.</t>
  </si>
  <si>
    <t>1. Set up preconditions: User account exists and is authenticated where applicable.
2. Perform the action described: "Explainable recommendations provided."
3. Observe system behaviour.</t>
  </si>
  <si>
    <t>System behaves exactly as specified: Explainable recommendations provided.</t>
  </si>
  <si>
    <t>TC-1045</t>
  </si>
  <si>
    <t>AI Executive Summary - Access denied for unauthorized role (Super Admin)</t>
  </si>
  <si>
    <t>1. Log in as Super Admin.
2. Attempt to access/perform: "AI Executive Summary".</t>
  </si>
  <si>
    <t>TC-1046</t>
  </si>
  <si>
    <t>AI Executive Summary - Access denied for unauthorized role (Recruiter)</t>
  </si>
  <si>
    <t>1. Log in as Recruiter.
2. Attempt to access/perform: "AI Executive Summary".</t>
  </si>
  <si>
    <t>TC-1047</t>
  </si>
  <si>
    <t>AI Executive Summary - Access denied for unauthorized role (Candidate)</t>
  </si>
  <si>
    <t>1. Log in as Candidate.
2. Attempt to access/perform: "AI Executive Summary".</t>
  </si>
  <si>
    <t>TC-1048</t>
  </si>
  <si>
    <t>Phase 5 -- Monitoring &amp; Reporting</t>
  </si>
  <si>
    <t>HR Dashboard - Dashboard loads within 3 seconds.</t>
  </si>
  <si>
    <t>1. Set up preconditions: Recruiter account exists and is authenticated where applicable.
2. Perform the action described: "Dashboard loads within 3 seconds."
3. Observe system behaviour.</t>
  </si>
  <si>
    <t>TC-1049</t>
  </si>
  <si>
    <t>HR Dashboard - KPI cards display real-time values.</t>
  </si>
  <si>
    <t>1. Set up preconditions: Recruiter account exists and is authenticated where applicable.
2. Perform the action described: "KPI cards display real-time values."
3. Observe system behaviour.</t>
  </si>
  <si>
    <t>System behaves exactly as specified: KPI cards display real-time values.</t>
  </si>
  <si>
    <t>TC-1050</t>
  </si>
  <si>
    <t>HR Dashboard - Department filters work correctly.</t>
  </si>
  <si>
    <t>1. Set up preconditions: Recruiter account exists and is authenticated where applicable.
2. Perform the action described: "Department filters work correctly."
3. Observe system behaviour.</t>
  </si>
  <si>
    <t>System behaves exactly as specified: Department filters work correctly.</t>
  </si>
  <si>
    <t>TC-1051</t>
  </si>
  <si>
    <t>HR Dashboard - Charts update dynamically.</t>
  </si>
  <si>
    <t>1. Set up preconditions: Recruiter account exists and is authenticated where applicable.
2. Perform the action described: "Charts update dynamically."
3. Observe system behaviour.</t>
  </si>
  <si>
    <t>System behaves exactly as specified: Charts update dynamically.</t>
  </si>
  <si>
    <t>TC-1052</t>
  </si>
  <si>
    <t>HR Dashboard - Dashboard is responsive.</t>
  </si>
  <si>
    <t>1. Set up preconditions: Recruiter account exists and is authenticated where applicable.
2. Perform the action described: "Dashboard is responsive."
3. Observe system behaviour.</t>
  </si>
  <si>
    <t>System behaves exactly as specified: Dashboard is responsive.</t>
  </si>
  <si>
    <t>TC-1053</t>
  </si>
  <si>
    <t>HR Dashboard - API 'GET /api/reports/hr-dashboard' returns success for valid authorized request</t>
  </si>
  <si>
    <t>1. Obtain a valid authentication token for role 'Recruiter'.
2. Send request: GET /api/reports/hr-dashboard with valid payload/parameters.
3. Inspect the response.</t>
  </si>
  <si>
    <t>TC-1054</t>
  </si>
  <si>
    <t>HR Dashboard - API 'GET /api/reports/hr-dashboard' rejects unauthorized/unauthenticated request</t>
  </si>
  <si>
    <t>1. Send request: GET /api/reports/hr-dashboard without a valid authentication token.
2. Inspect the response.</t>
  </si>
  <si>
    <t>TC-1055</t>
  </si>
  <si>
    <t>HR Dashboard - API 'GET /api/reports/hr-dashboard' handles invalid/malformed payload</t>
  </si>
  <si>
    <t>1. Obtain a valid authentication token for role 'Recruiter'.
2. Send request: GET /api/reports/hr-dashboard with missing required fields or malformed JSON.
3. Inspect the response.</t>
  </si>
  <si>
    <t>TC-1056</t>
  </si>
  <si>
    <t>HR Dashboard - API 'GET /api/reports/hr-dashboard' handles non-existent resource gracefully</t>
  </si>
  <si>
    <t>1. Obtain a valid authentication token for role 'Recruiter'.
2. Send request: GET /api/reports/hr-dashboard referencing an ID that does not exist.
3. Inspect the response.</t>
  </si>
  <si>
    <t>TC-1057</t>
  </si>
  <si>
    <t>HR Dashboard - Access denied for unauthorized role (Super Admin)</t>
  </si>
  <si>
    <t>1. Log in as Super Admin.
2. Attempt to access/perform: "HR Dashboard".</t>
  </si>
  <si>
    <t>TC-1058</t>
  </si>
  <si>
    <t>HR Dashboard - Access denied for unauthorized role (Candidate)</t>
  </si>
  <si>
    <t>1. Log in as Candidate.
2. Attempt to access/perform: "HR Dashboard".</t>
  </si>
  <si>
    <t>TC-1059</t>
  </si>
  <si>
    <t>HR Dashboard - Displays correctly when no data is available</t>
  </si>
  <si>
    <t>TC-1060</t>
  </si>
  <si>
    <t>HR Dashboard - Handles large dataset with pagination correctly</t>
  </si>
  <si>
    <t>TC-1061</t>
  </si>
  <si>
    <t>Executive Dashboard - Interactive charts.</t>
  </si>
  <si>
    <t>Super Admin account exists and is authenticated where applicable.</t>
  </si>
  <si>
    <t>1. Set up preconditions: Super Admin account exists and is authenticated where applicable.
2. Perform the action described: "Interactive charts."
3. Observe system behaviour.</t>
  </si>
  <si>
    <t>TC-1062</t>
  </si>
  <si>
    <t>Executive Dashboard - Real-time updates.</t>
  </si>
  <si>
    <t>1. Set up preconditions: Super Admin account exists and is authenticated where applicable.
2. Perform the action described: "Real-time updates."
3. Observe system behaviour.</t>
  </si>
  <si>
    <t>System behaves exactly as specified: Real-time updates.</t>
  </si>
  <si>
    <t>TC-1063</t>
  </si>
  <si>
    <t>Executive Dashboard - Export available.</t>
  </si>
  <si>
    <t>1. Set up preconditions: Super Admin account exists and is authenticated where applicable.
2. Perform the action described: "Export available."
3. Observe system behaviour.</t>
  </si>
  <si>
    <t>TC-1064</t>
  </si>
  <si>
    <t>Executive Dashboard - Mobile responsive.</t>
  </si>
  <si>
    <t>1. Set up preconditions: Super Admin account exists and is authenticated where applicable.
2. Perform the action described: "Mobile responsive."
3. Observe system behaviour.</t>
  </si>
  <si>
    <t>System behaves exactly as specified: Mobile responsive.</t>
  </si>
  <si>
    <t>TC-1065</t>
  </si>
  <si>
    <t>Executive Dashboard - Access denied for unauthorized role (Recruiter)</t>
  </si>
  <si>
    <t>1. Log in as Recruiter.
2. Attempt to access/perform: "Executive Dashboard".</t>
  </si>
  <si>
    <t>System denies access (HTTP 403 / hidden UI) since this feature is restricted to the 'Super Admin' role.</t>
  </si>
  <si>
    <t>TC-1066</t>
  </si>
  <si>
    <t>Executive Dashboard - Access denied for unauthorized role (Candidate)</t>
  </si>
  <si>
    <t>1. Log in as Candidate.
2. Attempt to access/perform: "Executive Dashboard".</t>
  </si>
  <si>
    <t>TC-1067</t>
  </si>
  <si>
    <t>Executive Dashboard - Displays correctly when no data is available</t>
  </si>
  <si>
    <t>1. Super Admin account exists and is authenticated where applicable.
2. Ensure there is no underlying data (empty dataset).
3. Open the screen.</t>
  </si>
  <si>
    <t>TC-1068</t>
  </si>
  <si>
    <t>Executive Dashboard - Handles large dataset with pagination correctly</t>
  </si>
  <si>
    <t>1. Super Admin account exists and is authenticated where applicable.
2. Ensure the dataset contains a large number of records (e.g. 500+).
3. Load the screen and navigate through pages.</t>
  </si>
  <si>
    <t>TC-1069</t>
  </si>
  <si>
    <t>Employee Analytics - Line charts.</t>
  </si>
  <si>
    <t>1. Set up preconditions: User account exists and is authenticated where applicable.
2. Perform the action described: "Line charts."
3. Observe system behaviour.</t>
  </si>
  <si>
    <t>System behaves exactly as specified: Line charts.</t>
  </si>
  <si>
    <t>TC-1070</t>
  </si>
  <si>
    <t>Employee Analytics - Pie charts.</t>
  </si>
  <si>
    <t>1. Set up preconditions: User account exists and is authenticated where applicable.
2. Perform the action described: "Pie charts."
3. Observe system behaviour.</t>
  </si>
  <si>
    <t>System behaves exactly as specified: Pie charts.</t>
  </si>
  <si>
    <t>TC-1071</t>
  </si>
  <si>
    <t>Employee Analytics - Export supported.</t>
  </si>
  <si>
    <t>TC-1072</t>
  </si>
  <si>
    <t>Employee Analytics - Access denied for unauthorized role (Super Admin)</t>
  </si>
  <si>
    <t>1. Log in as Super Admin.
2. Attempt to access/perform: "Employee Analytics".</t>
  </si>
  <si>
    <t>TC-1073</t>
  </si>
  <si>
    <t>Employee Analytics - Access denied for unauthorized role (Recruiter)</t>
  </si>
  <si>
    <t>1. Log in as Recruiter.
2. Attempt to access/perform: "Employee Analytics".</t>
  </si>
  <si>
    <t>TC-1074</t>
  </si>
  <si>
    <t>Employee Analytics - Access denied for unauthorized role (Candidate)</t>
  </si>
  <si>
    <t>1. Log in as Candidate.
2. Attempt to access/perform: "Employee Analytics".</t>
  </si>
  <si>
    <t>TC-1075</t>
  </si>
  <si>
    <t>Employee Analytics - Displays correctly when no data is available</t>
  </si>
  <si>
    <t>TC-1076</t>
  </si>
  <si>
    <t>Employee Analytics - Handles large dataset with pagination correctly</t>
  </si>
  <si>
    <t>TC-1077</t>
  </si>
  <si>
    <t>Onboarding Analytics - Interactive dashboard.</t>
  </si>
  <si>
    <t>1. Set up preconditions: User account exists and is authenticated where applicable.
2. Perform the action described: "Interactive dashboard."
3. Observe system behaviour.</t>
  </si>
  <si>
    <t>System behaves exactly as specified: Interactive dashboard.</t>
  </si>
  <si>
    <t>TC-1078</t>
  </si>
  <si>
    <t>Onboarding Analytics - Date filters.</t>
  </si>
  <si>
    <t>1. Set up preconditions: User account exists and is authenticated where applicable.
2. Perform the action described: "Date filters."
3. Observe system behaviour.</t>
  </si>
  <si>
    <t>System behaves exactly as specified: Date filters.</t>
  </si>
  <si>
    <t>TC-1079</t>
  </si>
  <si>
    <t>Onboarding Analytics - Export CSV/PDF.</t>
  </si>
  <si>
    <t>1. Set up preconditions: User account exists and is authenticated where applicable.
2. Perform the action described: "Export CSV/PDF."
3. Observe system behaviour.</t>
  </si>
  <si>
    <t>System behaves exactly as specified: Export CSV/PDF.</t>
  </si>
  <si>
    <t>TC-1080</t>
  </si>
  <si>
    <t>Onboarding Analytics - Access denied for unauthorized role (Super Admin)</t>
  </si>
  <si>
    <t>1. Log in as Super Admin.
2. Attempt to access/perform: "Onboarding Analytics".</t>
  </si>
  <si>
    <t>TC-1081</t>
  </si>
  <si>
    <t>Onboarding Analytics - Access denied for unauthorized role (Recruiter)</t>
  </si>
  <si>
    <t>1. Log in as Recruiter.
2. Attempt to access/perform: "Onboarding Analytics".</t>
  </si>
  <si>
    <t>TC-1082</t>
  </si>
  <si>
    <t>Onboarding Analytics - Access denied for unauthorized role (Candidate)</t>
  </si>
  <si>
    <t>1. Log in as Candidate.
2. Attempt to access/perform: "Onboarding Analytics".</t>
  </si>
  <si>
    <t>TC-1083</t>
  </si>
  <si>
    <t>Onboarding Analytics - Displays correctly when no data is available</t>
  </si>
  <si>
    <t>TC-1084</t>
  </si>
  <si>
    <t>Onboarding Analytics - Handles large dataset with pagination correctly</t>
  </si>
  <si>
    <t>TC-1085</t>
  </si>
  <si>
    <t>Learning Reports - Filters available.</t>
  </si>
  <si>
    <t>TC-1086</t>
  </si>
  <si>
    <t>Learning Reports - Export supported.</t>
  </si>
  <si>
    <t>TC-1087</t>
  </si>
  <si>
    <t>Learning Reports - Charts generated.</t>
  </si>
  <si>
    <t>1. Set up preconditions: User account exists and is authenticated where applicable.
2. Perform the action described: "Charts generated."
3. Observe system behaviour.</t>
  </si>
  <si>
    <t>System behaves exactly as specified: Charts generated.</t>
  </si>
  <si>
    <t>TC-1088</t>
  </si>
  <si>
    <t>Learning Reports - Access denied for unauthorized role (Super Admin)</t>
  </si>
  <si>
    <t>1. Log in as Super Admin.
2. Attempt to access/perform: "Learning Reports".</t>
  </si>
  <si>
    <t>TC-1089</t>
  </si>
  <si>
    <t>Learning Reports - Access denied for unauthorized role (Recruiter)</t>
  </si>
  <si>
    <t>1. Log in as Recruiter.
2. Attempt to access/perform: "Learning Reports".</t>
  </si>
  <si>
    <t>TC-1090</t>
  </si>
  <si>
    <t>Learning Reports - Access denied for unauthorized role (Candidate)</t>
  </si>
  <si>
    <t>1. Log in as Candidate.
2. Attempt to access/perform: "Learning Reports".</t>
  </si>
  <si>
    <t>TC-1091</t>
  </si>
  <si>
    <t>Learning Reports - Displays correctly when no data is available</t>
  </si>
  <si>
    <t>TC-1092</t>
  </si>
  <si>
    <t>Learning Reports - Handles large dataset with pagination correctly</t>
  </si>
  <si>
    <t>TC-1093</t>
  </si>
  <si>
    <t>Performance Reports - Report generated.</t>
  </si>
  <si>
    <t>TC-1094</t>
  </si>
  <si>
    <t>Performance Reports - Download PDF/Excel.</t>
  </si>
  <si>
    <t>1. Set up preconditions: User account exists and is authenticated where applicable.
2. Perform the action described: "Download PDF/Excel."
3. Observe system behaviour.</t>
  </si>
  <si>
    <t>System behaves exactly as specified: Download PDF/Excel.</t>
  </si>
  <si>
    <t>TC-1095</t>
  </si>
  <si>
    <t>Performance Reports - Scheduled reports supported.</t>
  </si>
  <si>
    <t>1. Set up preconditions: User account exists and is authenticated where applicable.
2. Perform the action described: "Scheduled reports supported."
3. Observe system behaviour.</t>
  </si>
  <si>
    <t>System behaves exactly as specified: Scheduled reports supported.</t>
  </si>
  <si>
    <t>TC-1096</t>
  </si>
  <si>
    <t>Performance Reports - Access denied for unauthorized role (Super Admin)</t>
  </si>
  <si>
    <t>1. Log in as Super Admin.
2. Attempt to access/perform: "Performance Reports".</t>
  </si>
  <si>
    <t>TC-1097</t>
  </si>
  <si>
    <t>Performance Reports - Access denied for unauthorized role (Recruiter)</t>
  </si>
  <si>
    <t>1. Log in as Recruiter.
2. Attempt to access/perform: "Performance Reports".</t>
  </si>
  <si>
    <t>TC-1098</t>
  </si>
  <si>
    <t>Performance Reports - Access denied for unauthorized role (Candidate)</t>
  </si>
  <si>
    <t>1. Log in as Candidate.
2. Attempt to access/perform: "Performance Reports".</t>
  </si>
  <si>
    <t>TC-1099</t>
  </si>
  <si>
    <t>Performance Reports - Displays correctly when no data is available</t>
  </si>
  <si>
    <t>TC-1100</t>
  </si>
  <si>
    <t>Performance Reports - Handles large dataset with pagination correctly</t>
  </si>
  <si>
    <t>TC-1101</t>
  </si>
  <si>
    <t>Talent Analytics - Charts displayed.</t>
  </si>
  <si>
    <t>TC-1102</t>
  </si>
  <si>
    <t>Talent Analytics - Department comparison.</t>
  </si>
  <si>
    <t>1. Set up preconditions: User account exists and is authenticated where applicable.
2. Perform the action described: "Department comparison."
3. Observe system behaviour.</t>
  </si>
  <si>
    <t>System behaves exactly as specified: Department comparison.</t>
  </si>
  <si>
    <t>TC-1103</t>
  </si>
  <si>
    <t>Talent Analytics - Search available.</t>
  </si>
  <si>
    <t>TC-1104</t>
  </si>
  <si>
    <t>TC-1105</t>
  </si>
  <si>
    <t>TC-1106</t>
  </si>
  <si>
    <t>TC-1107</t>
  </si>
  <si>
    <t>TC-1108</t>
  </si>
  <si>
    <t>TC-1109</t>
  </si>
  <si>
    <t>AI Insights Dashboard - AI insights generated.</t>
  </si>
  <si>
    <t>1. Set up preconditions: User account exists and is authenticated where applicable.
2. Perform the action described: "AI insights generated."
3. Observe system behaviour.</t>
  </si>
  <si>
    <t>System behaves exactly as specified: AI insights generated.</t>
  </si>
  <si>
    <t>TC-1110</t>
  </si>
  <si>
    <t>AI Insights Dashboard - Explainable recommendations.</t>
  </si>
  <si>
    <t>TC-1111</t>
  </si>
  <si>
    <t>AI Insights Dashboard - Historical comparisons.</t>
  </si>
  <si>
    <t>1. Set up preconditions: User account exists and is authenticated where applicable.
2. Perform the action described: "Historical comparisons."
3. Observe system behaviour.</t>
  </si>
  <si>
    <t>System behaves exactly as specified: Historical comparisons.</t>
  </si>
  <si>
    <t>TC-1112</t>
  </si>
  <si>
    <t>AI Insights Dashboard - Downloadable summary.</t>
  </si>
  <si>
    <t>1. Set up preconditions: User account exists and is authenticated where applicable.
2. Perform the action described: "Downloadable summary."
3. Observe system behaviour.</t>
  </si>
  <si>
    <t>System behaves exactly as specified: Downloadable summary.</t>
  </si>
  <si>
    <t>TC-1113</t>
  </si>
  <si>
    <t>AI Insights Dashboard - Access denied for unauthorized role (Super Admin)</t>
  </si>
  <si>
    <t>1. Log in as Super Admin.
2. Attempt to access/perform: "AI Insights Dashboard".</t>
  </si>
  <si>
    <t>TC-1114</t>
  </si>
  <si>
    <t>AI Insights Dashboard - Access denied for unauthorized role (Recruiter)</t>
  </si>
  <si>
    <t>1. Log in as Recruiter.
2. Attempt to access/perform: "AI Insights Dashboard".</t>
  </si>
  <si>
    <t>TC-1115</t>
  </si>
  <si>
    <t>AI Insights Dashboard - Access denied for unauthorized role (Candidate)</t>
  </si>
  <si>
    <t>1. Log in as Candidate.
2. Attempt to access/perform: "AI Insights Dashboard".</t>
  </si>
  <si>
    <t>TC-1116</t>
  </si>
  <si>
    <t>AI Insights Dashboard - Displays correctly when no data is available</t>
  </si>
  <si>
    <t>TC-1117</t>
  </si>
  <si>
    <t>AI Insights Dashboard - Handles large dataset with pagination correctly</t>
  </si>
  <si>
    <t>TC-1118</t>
  </si>
  <si>
    <t>Global Search Analytics - Fast response.</t>
  </si>
  <si>
    <t>TC-1119</t>
  </si>
  <si>
    <t>Global Search Analytics - Relevant ranking.</t>
  </si>
  <si>
    <t>1. Set up preconditions: User account exists and is authenticated where applicable.
2. Perform the action described: "Relevant ranking."
3. Observe system behaviour.</t>
  </si>
  <si>
    <t>System behaves exactly as specified: Relevant ranking.</t>
  </si>
  <si>
    <t>TC-1120</t>
  </si>
  <si>
    <t>Global Search Analytics - Recent searches stored.</t>
  </si>
  <si>
    <t>1. Set up preconditions: User account exists and is authenticated where applicable.
2. Perform the action described: "Recent searches stored."
3. Observe system behaviour.</t>
  </si>
  <si>
    <t>System behaves exactly as specified: Recent searches stored.</t>
  </si>
  <si>
    <t>TC-1121</t>
  </si>
  <si>
    <t>Global Search Analytics - Access denied for unauthorized role (Super Admin)</t>
  </si>
  <si>
    <t>1. Log in as Super Admin.
2. Attempt to access/perform: "Global Search Analytics".</t>
  </si>
  <si>
    <t>TC-1122</t>
  </si>
  <si>
    <t>Global Search Analytics - Access denied for unauthorized role (Recruiter)</t>
  </si>
  <si>
    <t>1. Log in as Recruiter.
2. Attempt to access/perform: "Global Search Analytics".</t>
  </si>
  <si>
    <t>TC-1123</t>
  </si>
  <si>
    <t>Global Search Analytics - Access denied for unauthorized role (Candidate)</t>
  </si>
  <si>
    <t>1. Log in as Candidate.
2. Attempt to access/perform: "Global Search Analytics".</t>
  </si>
  <si>
    <t>TC-1124</t>
  </si>
  <si>
    <t>Global Search Analytics - Displays correctly when no data is available</t>
  </si>
  <si>
    <t>TC-1125</t>
  </si>
  <si>
    <t>Global Search Analytics - Handles large dataset with pagination correctly</t>
  </si>
  <si>
    <t>TC-1126</t>
  </si>
  <si>
    <t>Custom Report Builder - Drag-and-drop builder.</t>
  </si>
  <si>
    <t>1. Set up preconditions: User account exists and is authenticated where applicable.
2. Perform the action described: "Drag-and-drop builder."
3. Observe system behaviour.</t>
  </si>
  <si>
    <t>System behaves exactly as specified: Drag-and-drop builder.</t>
  </si>
  <si>
    <t>TC-1127</t>
  </si>
  <si>
    <t>Custom Report Builder - Save report templates.</t>
  </si>
  <si>
    <t>1. Set up preconditions: User account exists and is authenticated where applicable.
2. Perform the action described: "Save report templates."
3. Observe system behaviour.</t>
  </si>
  <si>
    <t>System behaves exactly as specified: Save report templates.</t>
  </si>
  <si>
    <t>TC-1128</t>
  </si>
  <si>
    <t>Custom Report Builder - Export PDF/Excel.</t>
  </si>
  <si>
    <t>1. Set up preconditions: User account exists and is authenticated where applicable.
2. Perform the action described: "Export PDF/Excel."
3. Observe system behaviour.</t>
  </si>
  <si>
    <t>System behaves exactly as specified: Export PDF/Excel.</t>
  </si>
  <si>
    <t>TC-1129</t>
  </si>
  <si>
    <t>Custom Report Builder - Access denied for unauthorized role (Super Admin)</t>
  </si>
  <si>
    <t>1. Log in as Super Admin.
2. Attempt to access/perform: "Custom Report Builder".</t>
  </si>
  <si>
    <t>TC-1130</t>
  </si>
  <si>
    <t>Custom Report Builder - Access denied for unauthorized role (Recruiter)</t>
  </si>
  <si>
    <t>1. Log in as Recruiter.
2. Attempt to access/perform: "Custom Report Builder".</t>
  </si>
  <si>
    <t>TC-1131</t>
  </si>
  <si>
    <t>Custom Report Builder - Access denied for unauthorized role (Candidate)</t>
  </si>
  <si>
    <t>1. Log in as Candidate.
2. Attempt to access/perform: "Custom Report Builder".</t>
  </si>
  <si>
    <t>TC-1132</t>
  </si>
  <si>
    <t>Custom Report Builder - Displays correctly when no data is available</t>
  </si>
  <si>
    <t>TC-1133</t>
  </si>
  <si>
    <t>Custom Report Builder - Handles large dataset with pagination correctly</t>
  </si>
  <si>
    <t>TC-1134</t>
  </si>
  <si>
    <t>Export Reports - Formatting preserved.</t>
  </si>
  <si>
    <t>1. Set up preconditions: User account exists and is authenticated where applicable.
2. Perform the action described: "Formatting preserved."
3. Observe system behaviour.</t>
  </si>
  <si>
    <t>System behaves exactly as specified: Formatting preserved.</t>
  </si>
  <si>
    <t>TC-1135</t>
  </si>
  <si>
    <t>Export Reports - Download successful.</t>
  </si>
  <si>
    <t>TC-1136</t>
  </si>
  <si>
    <t>Export Reports - Large reports supported.</t>
  </si>
  <si>
    <t>1. Set up preconditions: User account exists and is authenticated where applicable.
2. Perform the action described: "Large reports supported."
3. Observe system behaviour.</t>
  </si>
  <si>
    <t>System behaves exactly as specified: Large reports supported.</t>
  </si>
  <si>
    <t>TC-1137</t>
  </si>
  <si>
    <t>Export Reports - Access denied for unauthorized role (Super Admin)</t>
  </si>
  <si>
    <t>1. Log in as Super Admin.
2. Attempt to access/perform: "Export Reports".</t>
  </si>
  <si>
    <t>TC-1138</t>
  </si>
  <si>
    <t>Export Reports - Access denied for unauthorized role (Recruiter)</t>
  </si>
  <si>
    <t>1. Log in as Recruiter.
2. Attempt to access/perform: "Export Reports".</t>
  </si>
  <si>
    <t>TC-1139</t>
  </si>
  <si>
    <t>Export Reports - Access denied for unauthorized role (Candidate)</t>
  </si>
  <si>
    <t>1. Log in as Candidate.
2. Attempt to access/perform: "Export Reports".</t>
  </si>
  <si>
    <t>TC-1140</t>
  </si>
  <si>
    <t>Export Reports - Displays correctly when no data is available</t>
  </si>
  <si>
    <t>TC-1141</t>
  </si>
  <si>
    <t>Export Reports - Handles large dataset with pagination correctly</t>
  </si>
  <si>
    <t>TC-1142</t>
  </si>
  <si>
    <t>Scheduled Reports - Scheduler configurable.</t>
  </si>
  <si>
    <t>1. Set up preconditions: User account exists and is authenticated where applicable.
2. Perform the action described: "Scheduler configurable."
3. Observe system behaviour.</t>
  </si>
  <si>
    <t>System behaves exactly as specified: Scheduler configurable.</t>
  </si>
  <si>
    <t>TC-1143</t>
  </si>
  <si>
    <t>Scheduled Reports - Email delivered.</t>
  </si>
  <si>
    <t>1. Set up preconditions: User account exists and is authenticated where applicable.
2. Perform the action described: "Email delivered."
3. Observe system behaviour.</t>
  </si>
  <si>
    <t>System behaves exactly as specified: Email delivered.</t>
  </si>
  <si>
    <t>TC-1144</t>
  </si>
  <si>
    <t>Scheduled Reports - History maintained.</t>
  </si>
  <si>
    <t>TC-1145</t>
  </si>
  <si>
    <t>Scheduled Reports - Access denied for unauthorized role (Super Admin)</t>
  </si>
  <si>
    <t>1. Log in as Super Admin.
2. Attempt to access/perform: "Scheduled Reports".</t>
  </si>
  <si>
    <t>TC-1146</t>
  </si>
  <si>
    <t>Scheduled Reports - Access denied for unauthorized role (Recruiter)</t>
  </si>
  <si>
    <t>1. Log in as Recruiter.
2. Attempt to access/perform: "Scheduled Reports".</t>
  </si>
  <si>
    <t>TC-1147</t>
  </si>
  <si>
    <t>Scheduled Reports - Access denied for unauthorized role (Candidate)</t>
  </si>
  <si>
    <t>1. Log in as Candidate.
2. Attempt to access/perform: "Scheduled Reports".</t>
  </si>
  <si>
    <t>TC-1148</t>
  </si>
  <si>
    <t>Scheduled Reports - Displays correctly when no data is available</t>
  </si>
  <si>
    <t>TC-1149</t>
  </si>
  <si>
    <t>Scheduled Reports - Handles large dataset with pagination correctly</t>
  </si>
  <si>
    <t>TC-1150</t>
  </si>
  <si>
    <t>Audit Logs - Immutable logs.</t>
  </si>
  <si>
    <t>1. Set up preconditions: Super Admin account exists and is authenticated where applicable.
2. Perform the action described: "Immutable logs."
3. Observe system behaviour.</t>
  </si>
  <si>
    <t>System behaves exactly as specified: Immutable logs.</t>
  </si>
  <si>
    <t>TC-1151</t>
  </si>
  <si>
    <t>Audit Logs - Searchable.</t>
  </si>
  <si>
    <t>1. Set up preconditions: Super Admin account exists and is authenticated where applicable.
2. Perform the action described: "Searchable."
3. Observe system behaviour.</t>
  </si>
  <si>
    <t>TC-1152</t>
  </si>
  <si>
    <t>Audit Logs - Export supported.</t>
  </si>
  <si>
    <t>1. Set up preconditions: Super Admin account exists and is authenticated where applicable.
2. Perform the action described: "Export supported."
3. Observe system behaviour.</t>
  </si>
  <si>
    <t>TC-1153</t>
  </si>
  <si>
    <t>Audit Logs - Retention policy configurable.</t>
  </si>
  <si>
    <t>1. Set up preconditions: Super Admin account exists and is authenticated where applicable.
2. Perform the action described: "Retention policy configurable."
3. Observe system behaviour.</t>
  </si>
  <si>
    <t>System behaves exactly as specified: Retention policy configurable.</t>
  </si>
  <si>
    <t>TC-1154</t>
  </si>
  <si>
    <t>Audit Logs - Access denied for unauthorized role (Recruiter)</t>
  </si>
  <si>
    <t>1. Log in as Recruiter.
2. Attempt to access/perform: "Audit Logs".</t>
  </si>
  <si>
    <t>TC-1155</t>
  </si>
  <si>
    <t>Audit Logs - Access denied for unauthorized role (Candidate)</t>
  </si>
  <si>
    <t>1. Log in as Candidate.
2. Attempt to access/perform: "Audit Logs".</t>
  </si>
  <si>
    <t>TC-1156</t>
  </si>
  <si>
    <t>System Notifications Center - Notifications categorized.</t>
  </si>
  <si>
    <t>1. Set up preconditions: User account exists and is authenticated where applicable.
2. Perform the action described: "Notifications categorized."
3. Observe system behaviour.</t>
  </si>
  <si>
    <t>System behaves exactly as specified: Notifications categorized.</t>
  </si>
  <si>
    <t>TC-1157</t>
  </si>
  <si>
    <t>System Notifications Center - Mark as read.</t>
  </si>
  <si>
    <t>1. Set up preconditions: User account exists and is authenticated where applicable.
2. Perform the action described: "Mark as read."
3. Observe system behaviour.</t>
  </si>
  <si>
    <t>System behaves exactly as specified: Mark as read.</t>
  </si>
  <si>
    <t>TC-1158</t>
  </si>
  <si>
    <t>System Notifications Center - Search.</t>
  </si>
  <si>
    <t>1. Set up preconditions: User account exists and is authenticated where applicable.
2. Perform the action described: "Search."
3. Observe system behaviour.</t>
  </si>
  <si>
    <t>System behaves exactly as specified: Search.</t>
  </si>
  <si>
    <t>TC-1159</t>
  </si>
  <si>
    <t>System Notifications Center - Filters.</t>
  </si>
  <si>
    <t>1. Set up preconditions: User account exists and is authenticated where applicable.
2. Perform the action described: "Filters."
3. Observe system behaviour.</t>
  </si>
  <si>
    <t>System behaves exactly as specified: Filters.</t>
  </si>
  <si>
    <t>TC-1160</t>
  </si>
  <si>
    <t>System Notifications Center - Access denied for unauthorized role (Super Admin)</t>
  </si>
  <si>
    <t>1. Log in as Super Admin.
2. Attempt to access/perform: "System Notifications Center".</t>
  </si>
  <si>
    <t>TC-1161</t>
  </si>
  <si>
    <t>System Notifications Center - Access denied for unauthorized role (Recruiter)</t>
  </si>
  <si>
    <t>1. Log in as Recruiter.
2. Attempt to access/perform: "System Notifications Center".</t>
  </si>
  <si>
    <t>TC-1162</t>
  </si>
  <si>
    <t>System Notifications Center - Access denied for unauthorized role (Candidate)</t>
  </si>
  <si>
    <t>1. Log in as Candidate.
2. Attempt to access/perform: "System Notifications Center".</t>
  </si>
  <si>
    <t>TC-1163</t>
  </si>
  <si>
    <t>System Configuration &amp; Organization Settings - Settings saved successfully.</t>
  </si>
  <si>
    <t>1. Set up preconditions: Super Admin account exists and is authenticated where applicable.
2. Perform the action described: "Settings saved successfully."
3. Observe system behaviour.</t>
  </si>
  <si>
    <t>System behaves exactly as specified: Settings saved successfully.</t>
  </si>
  <si>
    <t>TC-1164</t>
  </si>
  <si>
    <t>System Configuration &amp; Organization Settings - Changes audited.</t>
  </si>
  <si>
    <t>1. Set up preconditions: Super Admin account exists and is authenticated where applicable.
2. Perform the action described: "Changes audited."
3. Observe system behaviour.</t>
  </si>
  <si>
    <t>System behaves exactly as specified: Changes audited.</t>
  </si>
  <si>
    <t>TC-1165</t>
  </si>
  <si>
    <t>System Configuration &amp; Organization Settings - Validation enforced.</t>
  </si>
  <si>
    <t>1. Set up preconditions: Super Admin account exists and is authenticated where applicable.
2. Perform the action described: "Validation enforced."
3. Observe system behaviour.</t>
  </si>
  <si>
    <t>System behaves exactly as specified: Validation enforced.</t>
  </si>
  <si>
    <t>TC-1166</t>
  </si>
  <si>
    <t>System Configuration &amp; Organization Settings - Configuration applied without restart where applicable.</t>
  </si>
  <si>
    <t>1. Set up preconditions: Super Admin account exists and is authenticated where applicable.
2. Perform the action described: "Configuration applied without restart where applicable."
3. Observe system behaviour.</t>
  </si>
  <si>
    <t>System behaves exactly as specified: Configuration applied without restart where applicable.</t>
  </si>
  <si>
    <t>TC-1167</t>
  </si>
  <si>
    <t>System Configuration &amp; Organization Settings - Only Super Admin has access.</t>
  </si>
  <si>
    <t>1. Set up preconditions: Super Admin account exists and is authenticated where applicable.
2. Perform the action described: "Only Super Admin has access."
3. Observe system behaviour.</t>
  </si>
  <si>
    <t>System behaves exactly as specified: Only Super Admin has access.</t>
  </si>
  <si>
    <t>TC-1168</t>
  </si>
  <si>
    <t>System Configuration &amp; Organization Settings - API 'GET /api/settings' returns success for valid authorized request</t>
  </si>
  <si>
    <t>1. Obtain a valid authentication token for role 'Super Admin'.
2. Send request: GET /api/settings with valid payload/parameters.
3. Inspect the response.</t>
  </si>
  <si>
    <t>TC-1169</t>
  </si>
  <si>
    <t>System Configuration &amp; Organization Settings - API 'GET /api/settings' rejects unauthorized/unauthenticated request</t>
  </si>
  <si>
    <t>1. Send request: GET /api/settings without a valid authentication token.
2. Inspect the response.</t>
  </si>
  <si>
    <t>TC-1170</t>
  </si>
  <si>
    <t>System Configuration &amp; Organization Settings - API 'GET /api/settings' handles invalid/malformed payload</t>
  </si>
  <si>
    <t>1. Obtain a valid authentication token for role 'Super Admin'.
2. Send request: GET /api/settings with missing required fields or malformed JSON.
3. Inspect the response.</t>
  </si>
  <si>
    <t>TC-1171</t>
  </si>
  <si>
    <t>System Configuration &amp; Organization Settings - API 'GET /api/settings' handles non-existent resource gracefully</t>
  </si>
  <si>
    <t>1. Obtain a valid authentication token for role 'Super Admin'.
2. Send request: GET /api/settings referencing an ID that does not exist.
3. Inspect the response.</t>
  </si>
  <si>
    <t>TC-1172</t>
  </si>
  <si>
    <t>System Configuration &amp; Organization Settings - API 'PUT /api/settings' returns success for valid authorized request</t>
  </si>
  <si>
    <t>1. Obtain a valid authentication token for role 'Super Admin'.
2. Send request: PUT /api/settings with valid payload/parameters.
3. Inspect the response.</t>
  </si>
  <si>
    <t>TC-1173</t>
  </si>
  <si>
    <t>System Configuration &amp; Organization Settings - API 'PUT /api/settings' rejects unauthorized/unauthenticated request</t>
  </si>
  <si>
    <t>1. Send request: PUT /api/settings without a valid authentication token.
2. Inspect the response.</t>
  </si>
  <si>
    <t>TC-1174</t>
  </si>
  <si>
    <t>System Configuration &amp; Organization Settings - API 'PUT /api/settings' handles invalid/malformed payload</t>
  </si>
  <si>
    <t>1. Obtain a valid authentication token for role 'Super Admin'.
2. Send request: PUT /api/settings with missing required fields or malformed JSON.
3. Inspect the response.</t>
  </si>
  <si>
    <t>TC-1175</t>
  </si>
  <si>
    <t>System Configuration &amp; Organization Settings - API 'PUT /api/settings' handles non-existent resource gracefully</t>
  </si>
  <si>
    <t>1. Obtain a valid authentication token for role 'Super Admin'.
2. Send request: PUT /api/settings referencing an ID that does not exist.
3. Inspect the response.</t>
  </si>
  <si>
    <t>TC-1176</t>
  </si>
  <si>
    <t>System Configuration &amp; Organization Settings - Access denied for unauthorized role (Recruiter)</t>
  </si>
  <si>
    <t>1. Log in as Recruiter.
2. Attempt to access/perform: "System Configuration &amp; Organization Settings".</t>
  </si>
  <si>
    <t>TC-1177</t>
  </si>
  <si>
    <t>System Configuration &amp; Organization Settings - Access denied for unauthorized role (Candidate)</t>
  </si>
  <si>
    <t>1. Log in as Candidate.
2. Attempt to access/perform: "System Configuration &amp; Organization Settings".</t>
  </si>
  <si>
    <t>Pass Rate %</t>
  </si>
  <si>
    <t>TOTALS</t>
  </si>
  <si>
    <t>Developer / QA Name</t>
  </si>
  <si>
    <t>Role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</si>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</sst>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Calibri"/>
      <family val="2"/>
      <charset val="1"/>
    </font>
    <font>
      <b/>
      <sz val="20"/>
      <color rgb="FF1F3864"/>
      <name val="Cambria"/>
      <charset val="1"/>
    </font>
    <font>
      <i/>
      <sz val="12"/>
      <color rgb="FF666666"/>
      <name val="Cambria"/>
      <charset val="1"/>
    </font>
    <font>
      <b/>
      <sz val="13"/>
      <color rgb="FF2E5395"/>
      <name val="Cambria"/>
      <charset val="1"/>
    </font>
    <font>
      <b/>
      <sz val="10.5"/>
      <name val="Cambria"/>
      <charset val="1"/>
    </font>
    <font>
      <sz val="10.5"/>
      <color rgb="FF222222"/>
      <name val="Calibri"/>
      <charset val="1"/>
    </font>
    <font>
      <i/>
      <sz val="9"/>
      <color rgb="FF999999"/>
      <name val="Cambria"/>
      <charset val="1"/>
    </font>
    <font>
      <b/>
      <sz val="11"/>
      <color rgb="FFFFFFFF"/>
      <name val="Calibri"/>
      <charset val="1"/>
    </font>
    <font>
      <b/>
      <sz val="11"/>
      <name val="Cambria"/>
      <charset val="1"/>
    </font>
    <font>
      <sz val="11"/>
      <color rgb="FF000000"/>
      <name val="Calibri"/>
    </font>
    <font>
      <sz val="10.5"/>
      <color rgb="FF222222"/>
      <name val="Calibri"/>
      <family val="2"/>
      <charset val="1"/>
    </font>
    <font>
      <b/>
      <sz val="11"/>
      <color rgb="FFFFFFFF"/>
      <name val="Calibri"/>
      <family val="2"/>
      <charset val="1"/>
    </font>
  </fonts>
  <fills count="16">
    <fill>
      <patternFill patternType="none"/>
    </fill>
    <fill>
      <patternFill patternType="gray125"/>
    </fill>
    <fill>
      <patternFill patternType="solid">
        <fgColor rgb="FFF4B7B6"/>
        <bgColor rgb="FFF8CBAD"/>
      </patternFill>
    </fill>
    <fill>
      <patternFill patternType="solid">
        <fgColor rgb="FFFCE4B0"/>
        <bgColor rgb="FFFFE699"/>
      </patternFill>
    </fill>
    <fill>
      <patternFill patternType="solid">
        <fgColor rgb="FFFFF6B0"/>
        <bgColor rgb="FFFCE4B0"/>
      </patternFill>
    </fill>
    <fill>
      <patternFill patternType="solid">
        <fgColor rgb="FFC9E7CA"/>
        <bgColor rgb="FFC6E0B4"/>
      </patternFill>
    </fill>
    <fill>
      <patternFill patternType="solid">
        <fgColor rgb="FFC6E0B4"/>
        <bgColor rgb="FFC9E7CA"/>
      </patternFill>
    </fill>
    <fill>
      <patternFill patternType="solid">
        <fgColor rgb="FFF8CBAD"/>
        <bgColor rgb="FFF4B7B6"/>
      </patternFill>
    </fill>
    <fill>
      <patternFill patternType="solid">
        <fgColor rgb="FFFFE699"/>
        <bgColor rgb="FFFCE4B0"/>
      </patternFill>
    </fill>
    <fill>
      <patternFill patternType="solid">
        <fgColor rgb="FFD9D2E9"/>
        <bgColor rgb="FFD9D9D9"/>
      </patternFill>
    </fill>
    <fill>
      <patternFill patternType="solid">
        <fgColor rgb="FFE7E6E6"/>
        <bgColor rgb="FFD9D9D9"/>
      </patternFill>
    </fill>
    <fill>
      <patternFill patternType="solid">
        <fgColor rgb="FF1F3864"/>
        <bgColor rgb="FF2E5395"/>
      </patternFill>
    </fill>
    <fill>
      <patternFill patternType="solid">
        <fgColor rgb="FFFFF9DB"/>
        <bgColor rgb="FFFFFFFF"/>
      </patternFill>
    </fill>
    <fill>
      <patternFill patternType="solid">
        <fgColor rgb="FFF2F6FC"/>
        <bgColor rgb="FFFFFFFF"/>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4" fillId="2" borderId="0" xfId="0" applyFont="1" applyFill="1" applyAlignment="1">
      <alignment horizontal="center"/>
    </xf>
    <xf numFmtId="0" fontId="5" fillId="0" borderId="0" xfId="0" applyFont="1"/>
    <xf numFmtId="0" fontId="4" fillId="3" borderId="0" xfId="0" applyFont="1" applyFill="1" applyAlignment="1">
      <alignment horizontal="center"/>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7" borderId="0" xfId="0" applyFont="1" applyFill="1" applyAlignment="1">
      <alignment horizontal="center"/>
    </xf>
    <xf numFmtId="0" fontId="4" fillId="8" borderId="0" xfId="0" applyFont="1" applyFill="1" applyAlignment="1">
      <alignment horizontal="center"/>
    </xf>
    <xf numFmtId="0" fontId="4" fillId="9" borderId="0" xfId="0" applyFont="1" applyFill="1" applyAlignment="1">
      <alignment horizontal="center"/>
    </xf>
    <xf numFmtId="0" fontId="4" fillId="10" borderId="0" xfId="0" applyFont="1" applyFill="1" applyAlignment="1">
      <alignment horizontal="center"/>
    </xf>
    <xf numFmtId="0" fontId="6" fillId="0" borderId="0" xfId="0" applyFont="1"/>
    <xf numFmtId="0" fontId="7" fillId="11" borderId="1" xfId="0" applyFont="1" applyFill="1" applyBorder="1" applyAlignment="1">
      <alignment horizontal="center" vertical="center"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center" vertical="top" wrapText="1"/>
    </xf>
    <xf numFmtId="0" fontId="5" fillId="13" borderId="1" xfId="0" applyFont="1" applyFill="1" applyBorder="1" applyAlignment="1">
      <alignment horizontal="left" vertical="top" wrapText="1"/>
    </xf>
    <xf numFmtId="164" fontId="5" fillId="0" borderId="1" xfId="0" applyNumberFormat="1" applyFont="1" applyBorder="1" applyAlignment="1">
      <alignment horizontal="center" vertical="top" wrapText="1"/>
    </xf>
    <xf numFmtId="164" fontId="5" fillId="13" borderId="1" xfId="0" applyNumberFormat="1" applyFont="1" applyFill="1" applyBorder="1" applyAlignment="1">
      <alignment horizontal="center" vertical="top" wrapText="1"/>
    </xf>
    <xf numFmtId="0" fontId="8" fillId="0" borderId="0" xfId="0" applyFont="1"/>
    <xf numFmtId="164" fontId="8" fillId="0" borderId="0" xfId="0" applyNumberFormat="1" applyFont="1"/>
    <xf numFmtId="0" fontId="0" fillId="12" borderId="1" xfId="0" applyFill="1" applyBorder="1"/>
    <xf numFmtId="0" fontId="0" fillId="0" borderId="1" xfId="0" applyBorder="1"/>
    <xf numFmtId="0" fontId="9" fillId="0" borderId="0" xfId="0" applyFont="1"/>
    <xf numFmtId="0" fontId="5" fillId="14" borderId="1" xfId="0" applyFont="1" applyFill="1" applyBorder="1" applyAlignment="1">
      <alignment horizontal="center" vertical="top" wrapText="1"/>
    </xf>
    <xf numFmtId="0" fontId="5" fillId="14" borderId="1" xfId="0" applyFont="1" applyFill="1" applyBorder="1" applyAlignment="1">
      <alignment horizontal="left" vertical="top" wrapText="1"/>
    </xf>
    <xf numFmtId="0" fontId="0" fillId="14" borderId="0" xfId="0" applyFill="1"/>
    <xf numFmtId="0" fontId="5" fillId="15" borderId="1" xfId="0" applyFont="1" applyFill="1" applyBorder="1" applyAlignment="1">
      <alignment horizontal="center" vertical="top" wrapText="1"/>
    </xf>
    <xf numFmtId="0" fontId="5" fillId="15" borderId="1" xfId="0" applyFont="1" applyFill="1" applyBorder="1" applyAlignment="1">
      <alignment horizontal="left" vertical="top" wrapText="1"/>
    </xf>
    <xf numFmtId="0" fontId="0" fillId="15" borderId="0" xfId="0" applyFill="1"/>
    <xf numFmtId="0" fontId="11" fillId="11" borderId="1" xfId="0" applyFont="1" applyFill="1" applyBorder="1" applyAlignment="1">
      <alignment horizontal="center" vertical="center" wrapText="1"/>
    </xf>
    <xf numFmtId="0" fontId="10" fillId="0" borderId="1" xfId="0" applyFont="1" applyBorder="1" applyAlignment="1">
      <alignment horizontal="left" vertical="top" wrapText="1"/>
    </xf>
    <xf numFmtId="0" fontId="10" fillId="13" borderId="1" xfId="0" applyFont="1" applyFill="1" applyBorder="1" applyAlignment="1">
      <alignment horizontal="left" vertical="top" wrapText="1"/>
    </xf>
    <xf numFmtId="0" fontId="10" fillId="14" borderId="1" xfId="0" applyFont="1" applyFill="1" applyBorder="1" applyAlignment="1">
      <alignment horizontal="left" vertical="top" wrapText="1"/>
    </xf>
    <xf numFmtId="0" fontId="10" fillId="15" borderId="1" xfId="0" applyFont="1" applyFill="1" applyBorder="1" applyAlignment="1">
      <alignment horizontal="left" vertical="top" wrapText="1"/>
    </xf>
  </cellXfs>
  <cellStyles count="1">
    <cellStyle name="Normal" xfId="0" builtinId="0"/>
  </cellStyles>
  <dxfs count="24">
    <dxf>
      <fill>
        <patternFill>
          <bgColor rgb="FFF8CBAD"/>
        </patternFill>
      </fill>
    </dxf>
    <dxf>
      <fill>
        <patternFill>
          <bgColor rgb="FFFFE699"/>
        </patternFill>
      </fill>
    </dxf>
    <dxf>
      <fill>
        <patternFill>
          <bgColor rgb="FFC6E0B4"/>
        </patternFill>
      </fill>
    </dxf>
    <dxf>
      <fill>
        <patternFill>
          <bgColor rgb="FFC9E7CA"/>
        </patternFill>
      </fill>
    </dxf>
    <dxf>
      <fill>
        <patternFill>
          <bgColor rgb="FFFFF6B0"/>
        </patternFill>
      </fill>
    </dxf>
    <dxf>
      <fill>
        <patternFill>
          <bgColor rgb="FFFCE4B0"/>
        </patternFill>
      </fill>
    </dxf>
    <dxf>
      <fill>
        <patternFill>
          <bgColor rgb="FFF4B7B6"/>
        </patternFill>
      </fill>
    </dxf>
    <dxf>
      <fill>
        <patternFill>
          <bgColor rgb="FFFFE699"/>
        </patternFill>
      </fill>
    </dxf>
    <dxf>
      <fill>
        <patternFill>
          <bgColor rgb="FFF8CBAD"/>
        </patternFill>
      </fill>
    </dxf>
    <dxf>
      <fill>
        <patternFill>
          <bgColor rgb="FFC6E0B4"/>
        </patternFill>
      </fill>
    </dxf>
    <dxf>
      <fill>
        <patternFill>
          <bgColor rgb="FFE7E6E6"/>
        </patternFill>
      </fill>
    </dxf>
    <dxf>
      <fill>
        <patternFill>
          <bgColor rgb="FFC9E7CA"/>
        </patternFill>
      </fill>
    </dxf>
    <dxf>
      <fill>
        <patternFill>
          <bgColor rgb="FFFFF6B0"/>
        </patternFill>
      </fill>
    </dxf>
    <dxf>
      <fill>
        <patternFill>
          <bgColor rgb="FFFCE4B0"/>
        </patternFill>
      </fill>
    </dxf>
    <dxf>
      <fill>
        <patternFill>
          <bgColor rgb="FFF4B7B6"/>
        </patternFill>
      </fill>
    </dxf>
    <dxf>
      <fill>
        <patternFill>
          <bgColor rgb="FFD9D2E9"/>
        </patternFill>
      </fill>
    </dxf>
    <dxf>
      <fill>
        <patternFill>
          <bgColor rgb="FFFFE699"/>
        </patternFill>
      </fill>
    </dxf>
    <dxf>
      <fill>
        <patternFill>
          <bgColor rgb="FFF8CBAD"/>
        </patternFill>
      </fill>
    </dxf>
    <dxf>
      <fill>
        <patternFill>
          <bgColor rgb="FFC6E0B4"/>
        </patternFill>
      </fill>
    </dxf>
    <dxf>
      <font>
        <b val="0"/>
        <i val="0"/>
        <strike val="0"/>
        <condense val="0"/>
        <extend val="0"/>
        <outline val="0"/>
        <shadow val="0"/>
        <u val="none"/>
        <vertAlign val="baseline"/>
        <sz val="10.5"/>
        <color rgb="FF222222"/>
        <name val="Calibri"/>
        <charset val="1"/>
        <scheme val="none"/>
      </font>
      <fill>
        <patternFill patternType="solid">
          <fgColor rgb="FFFFFFFF"/>
          <bgColor rgb="FFF2F6FC"/>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ill>
        <patternFill>
          <bgColor rgb="FFC9E7CA"/>
        </patternFill>
      </fill>
    </dxf>
    <dxf>
      <fill>
        <patternFill>
          <bgColor rgb="FFFFF6B0"/>
        </patternFill>
      </fill>
    </dxf>
    <dxf>
      <fill>
        <patternFill>
          <bgColor rgb="FFFCE4B0"/>
        </patternFill>
      </fill>
    </dxf>
    <dxf>
      <fill>
        <patternFill>
          <bgColor rgb="FFF4B7B6"/>
        </patternFill>
      </fill>
    </dxf>
  </dxfs>
  <tableStyles count="0" defaultTableStyle="TableStyleMedium2" defaultPivotStyle="PivotStyleLight16"/>
  <colors>
    <indexedColors>
      <rgbColor rgb="FF000000"/>
      <rgbColor rgb="FFFFFFFF"/>
      <rgbColor rgb="FFFF0000"/>
      <rgbColor rgb="FF00FF00"/>
      <rgbColor rgb="FF0000FF"/>
      <rgbColor rgb="FFFFE699"/>
      <rgbColor rgb="FFFF00FF"/>
      <rgbColor rgb="FF00FFFF"/>
      <rgbColor rgb="FF800000"/>
      <rgbColor rgb="FF008000"/>
      <rgbColor rgb="FF000080"/>
      <rgbColor rgb="FF808000"/>
      <rgbColor rgb="FF800080"/>
      <rgbColor rgb="FF008080"/>
      <rgbColor rgb="FFD9D9D9"/>
      <rgbColor rgb="FF808080"/>
      <rgbColor rgb="FF9999FF"/>
      <rgbColor rgb="FF993366"/>
      <rgbColor rgb="FFFFF9DB"/>
      <rgbColor rgb="FFF2F6FC"/>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E7E6E6"/>
      <rgbColor rgb="FFC9E7CA"/>
      <rgbColor rgb="FFFFF6B0"/>
      <rgbColor rgb="FFC6E0B4"/>
      <rgbColor rgb="FFF4B7B6"/>
      <rgbColor rgb="FFCC99FF"/>
      <rgbColor rgb="FFF8CBAD"/>
      <rgbColor rgb="FF3366FF"/>
      <rgbColor rgb="FF33CCCC"/>
      <rgbColor rgb="FF99CC00"/>
      <rgbColor rgb="FFFCE4B0"/>
      <rgbColor rgb="FFFF9900"/>
      <rgbColor rgb="FFFF6600"/>
      <rgbColor rgb="FF666666"/>
      <rgbColor rgb="FF999999"/>
      <rgbColor rgb="FF1F3864"/>
      <rgbColor rgb="FF339966"/>
      <rgbColor rgb="FF003300"/>
      <rgbColor rgb="FF333300"/>
      <rgbColor rgb="FF993300"/>
      <rgbColor rgb="FF993366"/>
      <rgbColor rgb="FF2E5395"/>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UserStories" displayName="UserStories" ref="A1:O141" totalsRowShown="0">
  <autoFilter ref="A1:O141" xr:uid="{00000000-0009-0000-0100-000004000000}"/>
  <tableColumns count="15">
    <tableColumn id="1" xr3:uid="{00000000-0010-0000-0000-000001000000}" name="Story ID"/>
    <tableColumn id="2" xr3:uid="{00000000-0010-0000-0000-000002000000}" name="Phase"/>
    <tableColumn id="3" xr3:uid="{00000000-0010-0000-0000-000003000000}" name="Epic"/>
    <tableColumn id="4" xr3:uid="{00000000-0010-0000-0000-000004000000}" name="Feature / Module"/>
    <tableColumn id="5" xr3:uid="{00000000-0010-0000-0000-000005000000}" name="Actor"/>
    <tableColumn id="6" xr3:uid="{00000000-0010-0000-0000-000006000000}" name="Priority"/>
    <tableColumn id="7" xr3:uid="{00000000-0010-0000-0000-000007000000}" name="Pts"/>
    <tableColumn id="8" xr3:uid="{00000000-0010-0000-0000-000008000000}" name="User Story (As a / I want / So that)"/>
    <tableColumn id="9" xr3:uid="{00000000-0010-0000-0000-000009000000}" name="Description"/>
    <tableColumn id="10" xr3:uid="{00000000-0010-0000-0000-00000A000000}" name="Acceptance Criteria"/>
    <tableColumn id="11" xr3:uid="{00000000-0010-0000-0000-00000B000000}" name="Business Rules"/>
    <tableColumn id="12" xr3:uid="{00000000-0010-0000-0000-00000C000000}" name="Dependencies"/>
    <tableColumn id="13" xr3:uid="{00000000-0010-0000-0000-00000D000000}" name="Suggested API(s)"/>
    <tableColumn id="14" xr3:uid="{00000000-0010-0000-0000-00000E000000}" name="Assigned Developer"/>
    <tableColumn id="16" xr3:uid="{8F9A3389-F034-437E-9258-2E064FC1B2FE}" name="STATUS"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stCases" displayName="TestCases" ref="A1:J1178" totalsRowShown="0">
  <autoFilter ref="A1:J1178" xr:uid="{00000000-0009-0000-0100-000002000000}"/>
  <tableColumns count="10">
    <tableColumn id="1" xr3:uid="{00000000-0010-0000-0100-000001000000}" name="TC ID"/>
    <tableColumn id="2" xr3:uid="{00000000-0010-0000-0100-000002000000}" name="Story ID"/>
    <tableColumn id="3" xr3:uid="{00000000-0010-0000-0100-000003000000}" name="Module"/>
    <tableColumn id="4" xr3:uid="{00000000-0010-0000-0100-000004000000}" name="Test Scenario"/>
    <tableColumn id="5" xr3:uid="{00000000-0010-0000-0100-000005000000}" name="Type"/>
    <tableColumn id="6" xr3:uid="{00000000-0010-0000-0100-000006000000}" name="Priority"/>
    <tableColumn id="7" xr3:uid="{00000000-0010-0000-0100-000007000000}" name="Preconditions"/>
    <tableColumn id="8" xr3:uid="{00000000-0010-0000-0100-000008000000}" name="Test Steps"/>
    <tableColumn id="9" xr3:uid="{00000000-0010-0000-0100-000009000000}" name="Expected Result"/>
    <tableColumn id="10" xr3:uid="{00000000-0010-0000-0100-00000A000000}" name="Statu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aceability" displayName="Traceability" ref="A1:N141" totalsRowShown="0">
  <autoFilter ref="A1:N141" xr:uid="{00000000-0009-0000-0100-000003000000}"/>
  <tableColumns count="14">
    <tableColumn id="1" xr3:uid="{00000000-0010-0000-0200-000001000000}" name="Story ID"/>
    <tableColumn id="2" xr3:uid="{00000000-0010-0000-0200-000002000000}" name="Feature / Module"/>
    <tableColumn id="3" xr3:uid="{00000000-0010-0000-0200-000003000000}" name="Priority"/>
    <tableColumn id="4" xr3:uid="{00000000-0010-0000-0200-000004000000}" name="Total Test Cases"/>
    <tableColumn id="5" xr3:uid="{00000000-0010-0000-0200-000005000000}" name="Positive"/>
    <tableColumn id="6" xr3:uid="{00000000-0010-0000-0200-000006000000}" name="Negative"/>
    <tableColumn id="7" xr3:uid="{00000000-0010-0000-0200-000007000000}" name="Security"/>
    <tableColumn id="8" xr3:uid="{00000000-0010-0000-0200-000008000000}" name="Boundary"/>
    <tableColumn id="9" xr3:uid="{00000000-0010-0000-0200-000009000000}" name="Not Run"/>
    <tableColumn id="10" xr3:uid="{00000000-0010-0000-0200-00000A000000}" name="Pass"/>
    <tableColumn id="11" xr3:uid="{00000000-0010-0000-0200-00000B000000}" name="Fail"/>
    <tableColumn id="12" xr3:uid="{00000000-0010-0000-0200-00000C000000}" name="Blocked"/>
    <tableColumn id="13" xr3:uid="{00000000-0010-0000-0200-00000D000000}" name="Pass Rate %"/>
    <tableColumn id="14" xr3:uid="{00000000-0010-0000-0200-00000E000000}" name="Assigned Develope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eamMembers" displayName="TeamMembers" ref="A1:C41" totalsRowShown="0">
  <autoFilter ref="A1:C41" xr:uid="{00000000-0009-0000-0100-000001000000}"/>
  <tableColumns count="3">
    <tableColumn id="1" xr3:uid="{00000000-0010-0000-0300-000001000000}" name="Developer / QA Name"/>
    <tableColumn id="2" xr3:uid="{00000000-0010-0000-0300-000002000000}" name="Role"/>
    <tableColumn id="3" xr3:uid="{00000000-0010-0000-0300-000003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43"/>
  <sheetViews>
    <sheetView showGridLines="0" zoomScaleNormal="100" workbookViewId="0"/>
  </sheetViews>
  <sheetFormatPr defaultColWidth="8.5703125" defaultRowHeight="14.45"/>
  <cols>
    <col min="1" max="1" width="3" customWidth="1"/>
    <col min="2" max="2" width="42" customWidth="1"/>
    <col min="3" max="3" width="90" customWidth="1"/>
  </cols>
  <sheetData>
    <row r="2" spans="2:3" ht="24.95">
      <c r="B2" s="1" t="s">
        <v>0</v>
      </c>
    </row>
    <row r="3" spans="2:3" ht="15.6">
      <c r="B3" s="2" t="s">
        <v>1</v>
      </c>
    </row>
    <row r="5" spans="2:3" ht="19.5" customHeight="1">
      <c r="B5" s="3" t="s">
        <v>2</v>
      </c>
    </row>
    <row r="6" spans="2:3" ht="27.95">
      <c r="B6" s="4" t="s">
        <v>3</v>
      </c>
      <c r="C6" s="5" t="s">
        <v>4</v>
      </c>
    </row>
    <row r="7" spans="2:3">
      <c r="B7" s="4" t="s">
        <v>5</v>
      </c>
      <c r="C7" s="5" t="s">
        <v>6</v>
      </c>
    </row>
    <row r="8" spans="2:3" ht="27.95">
      <c r="B8" s="4" t="s">
        <v>7</v>
      </c>
      <c r="C8" s="5" t="s">
        <v>8</v>
      </c>
    </row>
    <row r="9" spans="2:3" ht="27.95">
      <c r="B9" s="4" t="s">
        <v>9</v>
      </c>
      <c r="C9" s="5" t="s">
        <v>10</v>
      </c>
    </row>
    <row r="11" spans="2:3" ht="19.5" customHeight="1">
      <c r="B11" s="3" t="s">
        <v>11</v>
      </c>
    </row>
    <row r="12" spans="2:3" ht="27.95">
      <c r="B12" s="4" t="s">
        <v>12</v>
      </c>
      <c r="C12" s="5" t="s">
        <v>13</v>
      </c>
    </row>
    <row r="13" spans="2:3" ht="27.95">
      <c r="B13" s="4" t="s">
        <v>14</v>
      </c>
      <c r="C13" s="5" t="s">
        <v>15</v>
      </c>
    </row>
    <row r="14" spans="2:3" ht="27.95">
      <c r="B14" s="4" t="s">
        <v>16</v>
      </c>
      <c r="C14" s="5" t="s">
        <v>17</v>
      </c>
    </row>
    <row r="15" spans="2:3">
      <c r="B15" s="4" t="s">
        <v>18</v>
      </c>
      <c r="C15" s="5" t="s">
        <v>19</v>
      </c>
    </row>
    <row r="17" spans="2:3" ht="19.5" customHeight="1">
      <c r="B17" s="3" t="s">
        <v>20</v>
      </c>
    </row>
    <row r="18" spans="2:3">
      <c r="B18" s="4" t="s">
        <v>21</v>
      </c>
      <c r="C18" s="5" t="s">
        <v>22</v>
      </c>
    </row>
    <row r="19" spans="2:3">
      <c r="B19" s="4" t="s">
        <v>23</v>
      </c>
      <c r="C19" s="5" t="s">
        <v>24</v>
      </c>
    </row>
    <row r="20" spans="2:3">
      <c r="B20" s="4" t="s">
        <v>25</v>
      </c>
      <c r="C20" s="5" t="s">
        <v>26</v>
      </c>
    </row>
    <row r="21" spans="2:3">
      <c r="B21" s="4" t="s">
        <v>27</v>
      </c>
      <c r="C21" s="5" t="s">
        <v>28</v>
      </c>
    </row>
    <row r="22" spans="2:3">
      <c r="B22" s="4" t="s">
        <v>29</v>
      </c>
      <c r="C22" s="5" t="s">
        <v>30</v>
      </c>
    </row>
    <row r="23" spans="2:3">
      <c r="B23" s="4" t="s">
        <v>31</v>
      </c>
      <c r="C23" s="5" t="s">
        <v>30</v>
      </c>
    </row>
    <row r="25" spans="2:3" ht="19.5" customHeight="1">
      <c r="B25" s="3" t="s">
        <v>32</v>
      </c>
    </row>
    <row r="26" spans="2:3">
      <c r="B26" s="6" t="s">
        <v>33</v>
      </c>
      <c r="C26" s="7" t="s">
        <v>34</v>
      </c>
    </row>
    <row r="27" spans="2:3">
      <c r="B27" s="8" t="s">
        <v>35</v>
      </c>
      <c r="C27" s="7" t="s">
        <v>36</v>
      </c>
    </row>
    <row r="28" spans="2:3">
      <c r="B28" s="9" t="s">
        <v>37</v>
      </c>
      <c r="C28" s="7" t="s">
        <v>38</v>
      </c>
    </row>
    <row r="29" spans="2:3">
      <c r="B29" s="10" t="s">
        <v>39</v>
      </c>
      <c r="C29" s="7" t="s">
        <v>40</v>
      </c>
    </row>
    <row r="31" spans="2:3" ht="19.5" customHeight="1">
      <c r="B31" s="3" t="s">
        <v>41</v>
      </c>
    </row>
    <row r="32" spans="2:3">
      <c r="B32" s="11" t="s">
        <v>42</v>
      </c>
      <c r="C32" s="7" t="s">
        <v>43</v>
      </c>
    </row>
    <row r="33" spans="2:3">
      <c r="B33" s="12" t="s">
        <v>44</v>
      </c>
      <c r="C33" s="7" t="s">
        <v>45</v>
      </c>
    </row>
    <row r="34" spans="2:3">
      <c r="B34" s="13" t="s">
        <v>46</v>
      </c>
      <c r="C34" s="7" t="s">
        <v>47</v>
      </c>
    </row>
    <row r="35" spans="2:3">
      <c r="B35" s="14" t="s">
        <v>48</v>
      </c>
      <c r="C35" s="7" t="s">
        <v>49</v>
      </c>
    </row>
    <row r="37" spans="2:3" ht="19.5" customHeight="1">
      <c r="B37" s="3" t="s">
        <v>50</v>
      </c>
    </row>
    <row r="38" spans="2:3">
      <c r="B38" s="15" t="s">
        <v>51</v>
      </c>
    </row>
    <row r="39" spans="2:3">
      <c r="B39" s="11" t="s">
        <v>52</v>
      </c>
    </row>
    <row r="40" spans="2:3">
      <c r="B40" s="12" t="s">
        <v>53</v>
      </c>
    </row>
    <row r="41" spans="2:3">
      <c r="B41" s="13" t="s">
        <v>54</v>
      </c>
    </row>
    <row r="43" spans="2:3">
      <c r="B43" s="16" t="s">
        <v>55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41"/>
  <sheetViews>
    <sheetView showGridLines="0" tabSelected="1" zoomScaleNormal="100" workbookViewId="0">
      <pane xSplit="2" ySplit="1" topLeftCell="N10" activePane="bottomRight" state="frozen"/>
      <selection pane="bottomRight" activeCell="I16" sqref="I16"/>
      <selection pane="bottomLeft" activeCell="A2" sqref="A2"/>
      <selection pane="topRight" activeCell="C1" sqref="C1"/>
    </sheetView>
  </sheetViews>
  <sheetFormatPr defaultColWidth="8.5703125" defaultRowHeight="15" customHeight="1"/>
  <cols>
    <col min="1" max="1" width="10.28515625" bestFit="1" customWidth="1"/>
    <col min="2" max="2" width="30" customWidth="1"/>
    <col min="3" max="3" width="32" customWidth="1"/>
    <col min="4" max="4" width="26" customWidth="1"/>
    <col min="5" max="5" width="14" customWidth="1"/>
    <col min="6" max="6" width="9.7109375" bestFit="1" customWidth="1"/>
    <col min="7" max="7" width="5.85546875" bestFit="1" customWidth="1"/>
    <col min="8" max="8" width="98" customWidth="1"/>
    <col min="9" max="9" width="42" customWidth="1"/>
    <col min="10" max="10" width="46" customWidth="1"/>
    <col min="11" max="11" width="32" customWidth="1"/>
    <col min="12" max="12" width="20" customWidth="1"/>
    <col min="13" max="13" width="26" customWidth="1"/>
    <col min="14" max="14" width="22" customWidth="1"/>
    <col min="15" max="15" width="20.28515625" customWidth="1"/>
    <col min="16384" max="16384" width="8.5703125" bestFit="1" customWidth="1"/>
  </cols>
  <sheetData>
    <row r="1" spans="1:15" ht="31.5" customHeight="1">
      <c r="A1" s="17" t="s">
        <v>56</v>
      </c>
      <c r="B1" s="17" t="s">
        <v>57</v>
      </c>
      <c r="C1" s="17" t="s">
        <v>58</v>
      </c>
      <c r="D1" s="17" t="s">
        <v>59</v>
      </c>
      <c r="E1" s="17" t="s">
        <v>60</v>
      </c>
      <c r="F1" s="17" t="s">
        <v>61</v>
      </c>
      <c r="G1" s="17" t="s">
        <v>62</v>
      </c>
      <c r="H1" s="17" t="s">
        <v>63</v>
      </c>
      <c r="I1" s="17" t="s">
        <v>64</v>
      </c>
      <c r="J1" s="17" t="s">
        <v>65</v>
      </c>
      <c r="K1" s="17" t="s">
        <v>66</v>
      </c>
      <c r="L1" s="17" t="s">
        <v>67</v>
      </c>
      <c r="M1" s="17" t="s">
        <v>68</v>
      </c>
      <c r="N1" s="17" t="s">
        <v>69</v>
      </c>
      <c r="O1" s="36" t="s">
        <v>70</v>
      </c>
    </row>
    <row r="2" spans="1:15" ht="48.75" customHeight="1">
      <c r="A2" s="18" t="s">
        <v>71</v>
      </c>
      <c r="B2" s="19" t="s">
        <v>25</v>
      </c>
      <c r="C2" s="19" t="s">
        <v>72</v>
      </c>
      <c r="D2" s="19" t="s">
        <v>73</v>
      </c>
      <c r="E2" s="18" t="s">
        <v>74</v>
      </c>
      <c r="F2" s="18" t="s">
        <v>33</v>
      </c>
      <c r="G2" s="18" t="s">
        <v>75</v>
      </c>
      <c r="H2" s="19" t="s">
        <v>76</v>
      </c>
      <c r="I2" s="19" t="s">
        <v>77</v>
      </c>
      <c r="J2" s="19" t="s">
        <v>78</v>
      </c>
      <c r="K2" s="19" t="s">
        <v>79</v>
      </c>
      <c r="L2" s="19" t="s">
        <v>80</v>
      </c>
      <c r="M2" s="19" t="s">
        <v>81</v>
      </c>
      <c r="N2" s="20" t="s">
        <v>82</v>
      </c>
      <c r="O2" s="37" t="s">
        <v>83</v>
      </c>
    </row>
    <row r="3" spans="1:15" ht="45" customHeight="1">
      <c r="A3" s="21" t="s">
        <v>84</v>
      </c>
      <c r="B3" s="22" t="s">
        <v>25</v>
      </c>
      <c r="C3" s="22" t="s">
        <v>72</v>
      </c>
      <c r="D3" s="22" t="s">
        <v>73</v>
      </c>
      <c r="E3" s="21" t="s">
        <v>74</v>
      </c>
      <c r="F3" s="18" t="s">
        <v>33</v>
      </c>
      <c r="G3" s="21" t="s">
        <v>85</v>
      </c>
      <c r="H3" s="22" t="s">
        <v>86</v>
      </c>
      <c r="I3" s="22" t="s">
        <v>87</v>
      </c>
      <c r="J3" s="22" t="s">
        <v>88</v>
      </c>
      <c r="K3" s="22" t="s">
        <v>89</v>
      </c>
      <c r="L3" s="22" t="s">
        <v>80</v>
      </c>
      <c r="M3" s="22" t="s">
        <v>90</v>
      </c>
      <c r="N3" s="20" t="s">
        <v>82</v>
      </c>
      <c r="O3" s="37" t="s">
        <v>83</v>
      </c>
    </row>
    <row r="4" spans="1:15" ht="48.75" customHeight="1">
      <c r="A4" s="18" t="s">
        <v>91</v>
      </c>
      <c r="B4" s="19" t="s">
        <v>25</v>
      </c>
      <c r="C4" s="19" t="s">
        <v>72</v>
      </c>
      <c r="D4" s="19" t="s">
        <v>73</v>
      </c>
      <c r="E4" s="18" t="s">
        <v>74</v>
      </c>
      <c r="F4" s="18" t="s">
        <v>37</v>
      </c>
      <c r="G4" s="18" t="s">
        <v>92</v>
      </c>
      <c r="H4" s="19" t="s">
        <v>93</v>
      </c>
      <c r="I4" s="19" t="s">
        <v>94</v>
      </c>
      <c r="J4" s="19" t="s">
        <v>95</v>
      </c>
      <c r="K4" s="19"/>
      <c r="L4" s="19" t="s">
        <v>80</v>
      </c>
      <c r="M4" s="19" t="s">
        <v>96</v>
      </c>
      <c r="N4" s="20" t="s">
        <v>97</v>
      </c>
      <c r="O4" s="37" t="s">
        <v>83</v>
      </c>
    </row>
    <row r="5" spans="1:15" ht="63.75" customHeight="1">
      <c r="A5" s="21" t="s">
        <v>98</v>
      </c>
      <c r="B5" s="22" t="s">
        <v>25</v>
      </c>
      <c r="C5" s="22" t="s">
        <v>72</v>
      </c>
      <c r="D5" s="22" t="s">
        <v>73</v>
      </c>
      <c r="E5" s="21" t="s">
        <v>99</v>
      </c>
      <c r="F5" s="18" t="s">
        <v>33</v>
      </c>
      <c r="G5" s="21" t="s">
        <v>75</v>
      </c>
      <c r="H5" s="22" t="s">
        <v>100</v>
      </c>
      <c r="I5" s="22" t="s">
        <v>101</v>
      </c>
      <c r="J5" s="22" t="s">
        <v>102</v>
      </c>
      <c r="K5" s="22" t="s">
        <v>103</v>
      </c>
      <c r="L5" s="22" t="s">
        <v>80</v>
      </c>
      <c r="M5" s="22"/>
      <c r="N5" s="20" t="s">
        <v>97</v>
      </c>
      <c r="O5" s="37" t="s">
        <v>83</v>
      </c>
    </row>
    <row r="6" spans="1:15" ht="48.75" customHeight="1">
      <c r="A6" s="18" t="s">
        <v>104</v>
      </c>
      <c r="B6" s="19" t="s">
        <v>25</v>
      </c>
      <c r="C6" s="19" t="s">
        <v>72</v>
      </c>
      <c r="D6" s="19" t="s">
        <v>73</v>
      </c>
      <c r="E6" s="18" t="s">
        <v>99</v>
      </c>
      <c r="F6" s="18" t="s">
        <v>37</v>
      </c>
      <c r="G6" s="18" t="s">
        <v>92</v>
      </c>
      <c r="H6" s="19" t="s">
        <v>105</v>
      </c>
      <c r="I6" s="19" t="s">
        <v>106</v>
      </c>
      <c r="J6" s="19" t="s">
        <v>107</v>
      </c>
      <c r="K6" s="19"/>
      <c r="L6" s="19" t="s">
        <v>80</v>
      </c>
      <c r="M6" s="19"/>
      <c r="N6" s="20" t="s">
        <v>108</v>
      </c>
      <c r="O6" s="37" t="s">
        <v>83</v>
      </c>
    </row>
    <row r="7" spans="1:15" ht="63.75" customHeight="1">
      <c r="A7" s="21" t="s">
        <v>109</v>
      </c>
      <c r="B7" s="22" t="s">
        <v>25</v>
      </c>
      <c r="C7" s="22" t="s">
        <v>72</v>
      </c>
      <c r="D7" s="22" t="s">
        <v>73</v>
      </c>
      <c r="E7" s="21" t="s">
        <v>99</v>
      </c>
      <c r="F7" s="18" t="s">
        <v>35</v>
      </c>
      <c r="G7" s="21" t="s">
        <v>85</v>
      </c>
      <c r="H7" s="22" t="s">
        <v>110</v>
      </c>
      <c r="I7" s="22" t="s">
        <v>111</v>
      </c>
      <c r="J7" s="22" t="s">
        <v>112</v>
      </c>
      <c r="K7" s="22"/>
      <c r="L7" s="22" t="s">
        <v>80</v>
      </c>
      <c r="M7" s="22"/>
      <c r="N7" s="20" t="s">
        <v>108</v>
      </c>
      <c r="O7" s="37" t="s">
        <v>83</v>
      </c>
    </row>
    <row r="8" spans="1:15" ht="48.75" customHeight="1">
      <c r="A8" s="18" t="s">
        <v>113</v>
      </c>
      <c r="B8" s="19" t="s">
        <v>25</v>
      </c>
      <c r="C8" s="19" t="s">
        <v>72</v>
      </c>
      <c r="D8" s="19" t="s">
        <v>73</v>
      </c>
      <c r="E8" s="18" t="s">
        <v>99</v>
      </c>
      <c r="F8" s="18" t="s">
        <v>35</v>
      </c>
      <c r="G8" s="18" t="s">
        <v>85</v>
      </c>
      <c r="H8" s="19" t="s">
        <v>114</v>
      </c>
      <c r="I8" s="19" t="s">
        <v>115</v>
      </c>
      <c r="J8" s="19" t="s">
        <v>116</v>
      </c>
      <c r="K8" s="19"/>
      <c r="L8" s="19" t="s">
        <v>80</v>
      </c>
      <c r="M8" s="19"/>
      <c r="N8" s="20" t="s">
        <v>117</v>
      </c>
      <c r="O8" s="37" t="s">
        <v>83</v>
      </c>
    </row>
    <row r="9" spans="1:15" ht="33.75" customHeight="1">
      <c r="A9" s="21" t="s">
        <v>118</v>
      </c>
      <c r="B9" s="22" t="s">
        <v>25</v>
      </c>
      <c r="C9" s="22" t="s">
        <v>72</v>
      </c>
      <c r="D9" s="22" t="s">
        <v>73</v>
      </c>
      <c r="E9" s="21" t="s">
        <v>99</v>
      </c>
      <c r="F9" s="18" t="s">
        <v>37</v>
      </c>
      <c r="G9" s="21" t="s">
        <v>92</v>
      </c>
      <c r="H9" s="22" t="s">
        <v>119</v>
      </c>
      <c r="I9" s="22" t="s">
        <v>120</v>
      </c>
      <c r="J9" s="22" t="s">
        <v>121</v>
      </c>
      <c r="K9" s="22"/>
      <c r="L9" s="22" t="s">
        <v>80</v>
      </c>
      <c r="M9" s="22"/>
      <c r="N9" s="20" t="s">
        <v>117</v>
      </c>
      <c r="O9" s="37" t="s">
        <v>83</v>
      </c>
    </row>
    <row r="10" spans="1:15" ht="48.75" customHeight="1">
      <c r="A10" s="18" t="s">
        <v>122</v>
      </c>
      <c r="B10" s="19" t="s">
        <v>25</v>
      </c>
      <c r="C10" s="19" t="s">
        <v>72</v>
      </c>
      <c r="D10" s="19" t="s">
        <v>73</v>
      </c>
      <c r="E10" s="18" t="s">
        <v>99</v>
      </c>
      <c r="F10" s="18" t="s">
        <v>37</v>
      </c>
      <c r="G10" s="18" t="s">
        <v>92</v>
      </c>
      <c r="H10" s="19" t="s">
        <v>123</v>
      </c>
      <c r="I10" s="19" t="s">
        <v>124</v>
      </c>
      <c r="J10" s="19" t="s">
        <v>125</v>
      </c>
      <c r="K10" s="19"/>
      <c r="L10" s="19" t="s">
        <v>80</v>
      </c>
      <c r="M10" s="19"/>
      <c r="N10" s="20" t="s">
        <v>126</v>
      </c>
      <c r="O10" s="37" t="s">
        <v>83</v>
      </c>
    </row>
    <row r="11" spans="1:15" ht="48.75" customHeight="1">
      <c r="A11" s="21" t="s">
        <v>127</v>
      </c>
      <c r="B11" s="22" t="s">
        <v>25</v>
      </c>
      <c r="C11" s="22" t="s">
        <v>72</v>
      </c>
      <c r="D11" s="22" t="s">
        <v>73</v>
      </c>
      <c r="E11" s="21" t="s">
        <v>99</v>
      </c>
      <c r="F11" s="18" t="s">
        <v>33</v>
      </c>
      <c r="G11" s="21" t="s">
        <v>75</v>
      </c>
      <c r="H11" s="22" t="s">
        <v>128</v>
      </c>
      <c r="I11" s="22" t="s">
        <v>129</v>
      </c>
      <c r="J11" s="22" t="s">
        <v>130</v>
      </c>
      <c r="K11" s="22"/>
      <c r="L11" s="22" t="s">
        <v>80</v>
      </c>
      <c r="M11" s="22"/>
      <c r="N11" s="20" t="s">
        <v>126</v>
      </c>
      <c r="O11" s="37" t="s">
        <v>83</v>
      </c>
    </row>
    <row r="12" spans="1:15" ht="48.75" customHeight="1">
      <c r="A12" s="18" t="s">
        <v>131</v>
      </c>
      <c r="B12" s="19" t="s">
        <v>25</v>
      </c>
      <c r="C12" s="19" t="s">
        <v>72</v>
      </c>
      <c r="D12" s="19" t="s">
        <v>73</v>
      </c>
      <c r="E12" s="18" t="s">
        <v>99</v>
      </c>
      <c r="F12" s="18" t="s">
        <v>33</v>
      </c>
      <c r="G12" s="18" t="s">
        <v>75</v>
      </c>
      <c r="H12" s="19" t="s">
        <v>132</v>
      </c>
      <c r="I12" s="19" t="s">
        <v>133</v>
      </c>
      <c r="J12" s="19" t="s">
        <v>134</v>
      </c>
      <c r="K12" s="19"/>
      <c r="L12" s="19" t="s">
        <v>80</v>
      </c>
      <c r="M12" s="19"/>
      <c r="N12" s="20" t="s">
        <v>135</v>
      </c>
      <c r="O12" s="37" t="s">
        <v>83</v>
      </c>
    </row>
    <row r="13" spans="1:15" ht="68.25" customHeight="1">
      <c r="A13" s="21" t="s">
        <v>136</v>
      </c>
      <c r="B13" s="22" t="s">
        <v>25</v>
      </c>
      <c r="C13" s="22" t="s">
        <v>72</v>
      </c>
      <c r="D13" s="22" t="s">
        <v>73</v>
      </c>
      <c r="E13" s="21" t="s">
        <v>99</v>
      </c>
      <c r="F13" s="18" t="s">
        <v>33</v>
      </c>
      <c r="G13" s="21" t="s">
        <v>75</v>
      </c>
      <c r="H13" s="22" t="s">
        <v>137</v>
      </c>
      <c r="I13" s="22" t="s">
        <v>138</v>
      </c>
      <c r="J13" s="22" t="s">
        <v>139</v>
      </c>
      <c r="K13" s="22"/>
      <c r="L13" s="22" t="s">
        <v>80</v>
      </c>
      <c r="M13" s="22" t="s">
        <v>140</v>
      </c>
      <c r="N13" s="20" t="s">
        <v>135</v>
      </c>
      <c r="O13" s="37" t="s">
        <v>83</v>
      </c>
    </row>
    <row r="14" spans="1:15" ht="74.25" customHeight="1">
      <c r="A14" s="18" t="s">
        <v>141</v>
      </c>
      <c r="B14" s="19" t="s">
        <v>25</v>
      </c>
      <c r="C14" s="19" t="s">
        <v>142</v>
      </c>
      <c r="D14" s="19" t="s">
        <v>143</v>
      </c>
      <c r="E14" s="18" t="s">
        <v>74</v>
      </c>
      <c r="F14" s="18" t="s">
        <v>33</v>
      </c>
      <c r="G14" s="18" t="s">
        <v>75</v>
      </c>
      <c r="H14" s="19" t="s">
        <v>144</v>
      </c>
      <c r="I14" s="19" t="s">
        <v>145</v>
      </c>
      <c r="J14" s="19" t="s">
        <v>146</v>
      </c>
      <c r="K14" s="19" t="s">
        <v>147</v>
      </c>
      <c r="L14" s="19" t="s">
        <v>80</v>
      </c>
      <c r="M14" s="19" t="s">
        <v>148</v>
      </c>
      <c r="N14" s="20" t="s">
        <v>97</v>
      </c>
      <c r="O14" s="37"/>
    </row>
    <row r="15" spans="1:15" ht="63.75" customHeight="1">
      <c r="A15" s="21" t="s">
        <v>149</v>
      </c>
      <c r="B15" s="22" t="s">
        <v>25</v>
      </c>
      <c r="C15" s="22" t="s">
        <v>142</v>
      </c>
      <c r="D15" s="22" t="s">
        <v>143</v>
      </c>
      <c r="E15" s="21" t="s">
        <v>74</v>
      </c>
      <c r="F15" s="18" t="s">
        <v>35</v>
      </c>
      <c r="G15" s="21" t="s">
        <v>85</v>
      </c>
      <c r="H15" s="22" t="s">
        <v>150</v>
      </c>
      <c r="I15" s="22" t="s">
        <v>151</v>
      </c>
      <c r="J15" s="22" t="s">
        <v>152</v>
      </c>
      <c r="K15" s="22"/>
      <c r="L15" s="22" t="s">
        <v>80</v>
      </c>
      <c r="M15" s="22" t="s">
        <v>153</v>
      </c>
      <c r="N15" s="20" t="s">
        <v>97</v>
      </c>
      <c r="O15" s="38"/>
    </row>
    <row r="16" spans="1:15" ht="78.75" customHeight="1">
      <c r="A16" s="18" t="s">
        <v>154</v>
      </c>
      <c r="B16" s="19" t="s">
        <v>25</v>
      </c>
      <c r="C16" s="19" t="s">
        <v>142</v>
      </c>
      <c r="D16" s="19" t="s">
        <v>143</v>
      </c>
      <c r="E16" s="18" t="s">
        <v>99</v>
      </c>
      <c r="F16" s="18" t="s">
        <v>37</v>
      </c>
      <c r="G16" s="18" t="s">
        <v>92</v>
      </c>
      <c r="H16" s="19" t="s">
        <v>155</v>
      </c>
      <c r="I16" s="19" t="s">
        <v>156</v>
      </c>
      <c r="J16" s="19" t="s">
        <v>157</v>
      </c>
      <c r="K16" s="19"/>
      <c r="L16" s="19" t="s">
        <v>80</v>
      </c>
      <c r="M16" s="19"/>
      <c r="N16" s="20" t="s">
        <v>108</v>
      </c>
      <c r="O16" s="37"/>
    </row>
    <row r="17" spans="1:15" ht="78.75" customHeight="1">
      <c r="A17" s="21" t="s">
        <v>158</v>
      </c>
      <c r="B17" s="22" t="s">
        <v>25</v>
      </c>
      <c r="C17" s="22" t="s">
        <v>142</v>
      </c>
      <c r="D17" s="22" t="s">
        <v>143</v>
      </c>
      <c r="E17" s="21" t="s">
        <v>99</v>
      </c>
      <c r="F17" s="18" t="s">
        <v>37</v>
      </c>
      <c r="G17" s="21" t="s">
        <v>85</v>
      </c>
      <c r="H17" s="22" t="s">
        <v>159</v>
      </c>
      <c r="I17" s="22" t="s">
        <v>160</v>
      </c>
      <c r="J17" s="22" t="s">
        <v>161</v>
      </c>
      <c r="K17" s="22"/>
      <c r="L17" s="22" t="s">
        <v>80</v>
      </c>
      <c r="M17" s="22" t="s">
        <v>162</v>
      </c>
      <c r="N17" s="20" t="s">
        <v>108</v>
      </c>
      <c r="O17" s="38"/>
    </row>
    <row r="18" spans="1:15" ht="78.75" customHeight="1">
      <c r="A18" s="18" t="s">
        <v>163</v>
      </c>
      <c r="B18" s="19" t="s">
        <v>25</v>
      </c>
      <c r="C18" s="19" t="s">
        <v>142</v>
      </c>
      <c r="D18" s="19" t="s">
        <v>143</v>
      </c>
      <c r="E18" s="18" t="s">
        <v>99</v>
      </c>
      <c r="F18" s="18" t="s">
        <v>35</v>
      </c>
      <c r="G18" s="18" t="s">
        <v>75</v>
      </c>
      <c r="H18" s="19" t="s">
        <v>164</v>
      </c>
      <c r="I18" s="19" t="s">
        <v>165</v>
      </c>
      <c r="J18" s="19" t="s">
        <v>166</v>
      </c>
      <c r="K18" s="19"/>
      <c r="L18" s="19" t="s">
        <v>80</v>
      </c>
      <c r="M18" s="19" t="s">
        <v>167</v>
      </c>
      <c r="N18" s="20" t="s">
        <v>117</v>
      </c>
      <c r="O18" s="37"/>
    </row>
    <row r="19" spans="1:15" ht="108.75" customHeight="1">
      <c r="A19" s="21" t="s">
        <v>168</v>
      </c>
      <c r="B19" s="22" t="s">
        <v>25</v>
      </c>
      <c r="C19" s="22" t="s">
        <v>142</v>
      </c>
      <c r="D19" s="22" t="s">
        <v>143</v>
      </c>
      <c r="E19" s="21" t="s">
        <v>169</v>
      </c>
      <c r="F19" s="18" t="s">
        <v>33</v>
      </c>
      <c r="G19" s="21" t="s">
        <v>75</v>
      </c>
      <c r="H19" s="22" t="s">
        <v>170</v>
      </c>
      <c r="I19" s="22" t="s">
        <v>171</v>
      </c>
      <c r="J19" s="22" t="s">
        <v>172</v>
      </c>
      <c r="K19" s="22"/>
      <c r="L19" s="22" t="s">
        <v>80</v>
      </c>
      <c r="M19" s="22"/>
      <c r="N19" s="20" t="s">
        <v>82</v>
      </c>
      <c r="O19" s="38"/>
    </row>
    <row r="20" spans="1:15" ht="72" customHeight="1">
      <c r="A20" s="18" t="s">
        <v>173</v>
      </c>
      <c r="B20" s="19" t="s">
        <v>25</v>
      </c>
      <c r="C20" s="19" t="s">
        <v>142</v>
      </c>
      <c r="D20" s="19" t="s">
        <v>143</v>
      </c>
      <c r="E20" s="18" t="s">
        <v>99</v>
      </c>
      <c r="F20" s="18" t="s">
        <v>33</v>
      </c>
      <c r="G20" s="18" t="s">
        <v>75</v>
      </c>
      <c r="H20" s="19" t="s">
        <v>174</v>
      </c>
      <c r="I20" s="19" t="s">
        <v>175</v>
      </c>
      <c r="J20" s="19" t="s">
        <v>176</v>
      </c>
      <c r="K20" s="19"/>
      <c r="L20" s="19" t="s">
        <v>80</v>
      </c>
      <c r="M20" s="19" t="s">
        <v>177</v>
      </c>
      <c r="N20" s="20" t="s">
        <v>82</v>
      </c>
      <c r="O20" s="37"/>
    </row>
    <row r="21" spans="1:15" ht="63.75" customHeight="1">
      <c r="A21" s="21" t="s">
        <v>178</v>
      </c>
      <c r="B21" s="22" t="s">
        <v>25</v>
      </c>
      <c r="C21" s="22" t="s">
        <v>142</v>
      </c>
      <c r="D21" s="22" t="s">
        <v>143</v>
      </c>
      <c r="E21" s="21" t="s">
        <v>99</v>
      </c>
      <c r="F21" s="18" t="s">
        <v>37</v>
      </c>
      <c r="G21" s="21" t="s">
        <v>92</v>
      </c>
      <c r="H21" s="22" t="s">
        <v>179</v>
      </c>
      <c r="I21" s="22" t="s">
        <v>180</v>
      </c>
      <c r="J21" s="22" t="s">
        <v>181</v>
      </c>
      <c r="K21" s="22"/>
      <c r="L21" s="22" t="s">
        <v>80</v>
      </c>
      <c r="M21" s="22"/>
      <c r="N21" s="20" t="s">
        <v>117</v>
      </c>
      <c r="O21" s="38"/>
    </row>
    <row r="22" spans="1:15" ht="93.75" customHeight="1">
      <c r="A22" s="18" t="s">
        <v>182</v>
      </c>
      <c r="B22" s="19" t="s">
        <v>25</v>
      </c>
      <c r="C22" s="19" t="s">
        <v>142</v>
      </c>
      <c r="D22" s="19" t="s">
        <v>143</v>
      </c>
      <c r="E22" s="18" t="s">
        <v>99</v>
      </c>
      <c r="F22" s="18" t="s">
        <v>35</v>
      </c>
      <c r="G22" s="18" t="s">
        <v>85</v>
      </c>
      <c r="H22" s="19" t="s">
        <v>183</v>
      </c>
      <c r="I22" s="19" t="s">
        <v>184</v>
      </c>
      <c r="J22" s="19" t="s">
        <v>185</v>
      </c>
      <c r="K22" s="19"/>
      <c r="L22" s="19" t="s">
        <v>80</v>
      </c>
      <c r="M22" s="19"/>
      <c r="N22" s="20" t="s">
        <v>135</v>
      </c>
      <c r="O22" s="37"/>
    </row>
    <row r="23" spans="1:15" ht="63.75" customHeight="1">
      <c r="A23" s="21" t="s">
        <v>186</v>
      </c>
      <c r="B23" s="22" t="s">
        <v>25</v>
      </c>
      <c r="C23" s="22" t="s">
        <v>142</v>
      </c>
      <c r="D23" s="22" t="s">
        <v>143</v>
      </c>
      <c r="E23" s="21" t="s">
        <v>99</v>
      </c>
      <c r="F23" s="18" t="s">
        <v>39</v>
      </c>
      <c r="G23" s="21" t="s">
        <v>92</v>
      </c>
      <c r="H23" s="22" t="s">
        <v>187</v>
      </c>
      <c r="I23" s="22" t="s">
        <v>188</v>
      </c>
      <c r="J23" s="22" t="s">
        <v>189</v>
      </c>
      <c r="K23" s="22"/>
      <c r="L23" s="22" t="s">
        <v>80</v>
      </c>
      <c r="M23" s="22"/>
      <c r="N23" s="20" t="s">
        <v>135</v>
      </c>
      <c r="O23" s="38"/>
    </row>
    <row r="24" spans="1:15" ht="300" customHeight="1">
      <c r="A24" s="18" t="s">
        <v>190</v>
      </c>
      <c r="B24" s="19" t="s">
        <v>25</v>
      </c>
      <c r="C24" s="19" t="s">
        <v>191</v>
      </c>
      <c r="D24" s="19" t="s">
        <v>192</v>
      </c>
      <c r="E24" s="18" t="s">
        <v>74</v>
      </c>
      <c r="F24" s="18" t="s">
        <v>33</v>
      </c>
      <c r="G24" s="18" t="s">
        <v>193</v>
      </c>
      <c r="H24" s="19" t="s">
        <v>194</v>
      </c>
      <c r="I24" s="19" t="s">
        <v>195</v>
      </c>
      <c r="J24" s="19" t="s">
        <v>196</v>
      </c>
      <c r="K24" s="19" t="s">
        <v>197</v>
      </c>
      <c r="L24" s="19" t="s">
        <v>80</v>
      </c>
      <c r="M24" s="19" t="s">
        <v>198</v>
      </c>
      <c r="N24" s="20" t="s">
        <v>126</v>
      </c>
      <c r="O24" s="37"/>
    </row>
    <row r="25" spans="1:15" ht="48.75" customHeight="1">
      <c r="A25" s="21" t="s">
        <v>199</v>
      </c>
      <c r="B25" s="22" t="s">
        <v>25</v>
      </c>
      <c r="C25" s="22" t="s">
        <v>191</v>
      </c>
      <c r="D25" s="22" t="s">
        <v>192</v>
      </c>
      <c r="E25" s="21" t="s">
        <v>99</v>
      </c>
      <c r="F25" s="18" t="s">
        <v>35</v>
      </c>
      <c r="G25" s="21" t="s">
        <v>85</v>
      </c>
      <c r="H25" s="22" t="s">
        <v>200</v>
      </c>
      <c r="I25" s="22" t="s">
        <v>201</v>
      </c>
      <c r="J25" s="22" t="s">
        <v>202</v>
      </c>
      <c r="K25" s="22" t="s">
        <v>203</v>
      </c>
      <c r="L25" s="22" t="s">
        <v>80</v>
      </c>
      <c r="M25" s="22" t="s">
        <v>204</v>
      </c>
      <c r="N25" s="20" t="s">
        <v>126</v>
      </c>
      <c r="O25" s="38"/>
    </row>
    <row r="26" spans="1:15" ht="63.75" customHeight="1">
      <c r="A26" s="18" t="s">
        <v>205</v>
      </c>
      <c r="B26" s="19" t="s">
        <v>25</v>
      </c>
      <c r="C26" s="19" t="s">
        <v>191</v>
      </c>
      <c r="D26" s="19" t="s">
        <v>192</v>
      </c>
      <c r="E26" s="18" t="s">
        <v>99</v>
      </c>
      <c r="F26" s="18" t="s">
        <v>33</v>
      </c>
      <c r="G26" s="18" t="s">
        <v>75</v>
      </c>
      <c r="H26" s="19" t="s">
        <v>206</v>
      </c>
      <c r="I26" s="19" t="s">
        <v>207</v>
      </c>
      <c r="J26" s="19" t="s">
        <v>208</v>
      </c>
      <c r="K26" s="19"/>
      <c r="L26" s="19" t="s">
        <v>80</v>
      </c>
      <c r="M26" s="19" t="s">
        <v>209</v>
      </c>
      <c r="N26" s="20" t="s">
        <v>117</v>
      </c>
      <c r="O26" s="37"/>
    </row>
    <row r="27" spans="1:15" ht="48.75" customHeight="1">
      <c r="A27" s="21" t="s">
        <v>210</v>
      </c>
      <c r="B27" s="22" t="s">
        <v>25</v>
      </c>
      <c r="C27" s="22" t="s">
        <v>191</v>
      </c>
      <c r="D27" s="22" t="s">
        <v>192</v>
      </c>
      <c r="E27" s="21" t="s">
        <v>99</v>
      </c>
      <c r="F27" s="18" t="s">
        <v>35</v>
      </c>
      <c r="G27" s="21" t="s">
        <v>85</v>
      </c>
      <c r="H27" s="22" t="s">
        <v>211</v>
      </c>
      <c r="I27" s="22" t="s">
        <v>212</v>
      </c>
      <c r="J27" s="22" t="s">
        <v>213</v>
      </c>
      <c r="K27" s="22"/>
      <c r="L27" s="22" t="s">
        <v>80</v>
      </c>
      <c r="M27" s="22"/>
      <c r="N27" s="20" t="s">
        <v>117</v>
      </c>
      <c r="O27" s="38"/>
    </row>
    <row r="28" spans="1:15" ht="48.75" customHeight="1">
      <c r="A28" s="18" t="s">
        <v>214</v>
      </c>
      <c r="B28" s="19" t="s">
        <v>25</v>
      </c>
      <c r="C28" s="19" t="s">
        <v>191</v>
      </c>
      <c r="D28" s="19" t="s">
        <v>192</v>
      </c>
      <c r="E28" s="18" t="s">
        <v>99</v>
      </c>
      <c r="F28" s="18" t="s">
        <v>37</v>
      </c>
      <c r="G28" s="18" t="s">
        <v>85</v>
      </c>
      <c r="H28" s="19" t="s">
        <v>215</v>
      </c>
      <c r="I28" s="19" t="s">
        <v>216</v>
      </c>
      <c r="J28" s="19" t="s">
        <v>217</v>
      </c>
      <c r="K28" s="19"/>
      <c r="L28" s="19" t="s">
        <v>80</v>
      </c>
      <c r="M28" s="19"/>
      <c r="N28" s="20" t="s">
        <v>82</v>
      </c>
      <c r="O28" s="37"/>
    </row>
    <row r="29" spans="1:15" ht="78.75" customHeight="1">
      <c r="A29" s="21" t="s">
        <v>218</v>
      </c>
      <c r="B29" s="22" t="s">
        <v>25</v>
      </c>
      <c r="C29" s="22" t="s">
        <v>191</v>
      </c>
      <c r="D29" s="22" t="s">
        <v>192</v>
      </c>
      <c r="E29" s="21" t="s">
        <v>99</v>
      </c>
      <c r="F29" s="18" t="s">
        <v>37</v>
      </c>
      <c r="G29" s="21" t="s">
        <v>75</v>
      </c>
      <c r="H29" s="22" t="s">
        <v>219</v>
      </c>
      <c r="I29" s="22" t="s">
        <v>220</v>
      </c>
      <c r="J29" s="22" t="s">
        <v>221</v>
      </c>
      <c r="K29" s="22"/>
      <c r="L29" s="22" t="s">
        <v>80</v>
      </c>
      <c r="M29" s="22"/>
      <c r="N29" s="20" t="s">
        <v>82</v>
      </c>
      <c r="O29" s="38"/>
    </row>
    <row r="30" spans="1:15" ht="48.75" customHeight="1">
      <c r="A30" s="18" t="s">
        <v>222</v>
      </c>
      <c r="B30" s="19" t="s">
        <v>25</v>
      </c>
      <c r="C30" s="19" t="s">
        <v>191</v>
      </c>
      <c r="D30" s="19" t="s">
        <v>192</v>
      </c>
      <c r="E30" s="18" t="s">
        <v>99</v>
      </c>
      <c r="F30" s="18" t="s">
        <v>37</v>
      </c>
      <c r="G30" s="18" t="s">
        <v>75</v>
      </c>
      <c r="H30" s="19" t="s">
        <v>223</v>
      </c>
      <c r="I30" s="19" t="s">
        <v>224</v>
      </c>
      <c r="J30" s="19" t="s">
        <v>225</v>
      </c>
      <c r="K30" s="19"/>
      <c r="L30" s="19" t="s">
        <v>80</v>
      </c>
      <c r="M30" s="19"/>
      <c r="N30" s="20" t="s">
        <v>108</v>
      </c>
      <c r="O30" s="37"/>
    </row>
    <row r="31" spans="1:15" ht="48.75" customHeight="1">
      <c r="A31" s="21" t="s">
        <v>226</v>
      </c>
      <c r="B31" s="22" t="s">
        <v>25</v>
      </c>
      <c r="C31" s="22" t="s">
        <v>191</v>
      </c>
      <c r="D31" s="22" t="s">
        <v>192</v>
      </c>
      <c r="E31" s="21" t="s">
        <v>99</v>
      </c>
      <c r="F31" s="18" t="s">
        <v>37</v>
      </c>
      <c r="G31" s="21" t="s">
        <v>75</v>
      </c>
      <c r="H31" s="22" t="s">
        <v>227</v>
      </c>
      <c r="I31" s="22" t="s">
        <v>228</v>
      </c>
      <c r="J31" s="22" t="s">
        <v>229</v>
      </c>
      <c r="K31" s="22"/>
      <c r="L31" s="22" t="s">
        <v>80</v>
      </c>
      <c r="M31" s="22"/>
      <c r="N31" s="20" t="s">
        <v>108</v>
      </c>
      <c r="O31" s="38"/>
    </row>
    <row r="32" spans="1:15" ht="78.75" customHeight="1">
      <c r="A32" s="18" t="s">
        <v>230</v>
      </c>
      <c r="B32" s="19" t="s">
        <v>25</v>
      </c>
      <c r="C32" s="19" t="s">
        <v>191</v>
      </c>
      <c r="D32" s="19" t="s">
        <v>192</v>
      </c>
      <c r="E32" s="18" t="s">
        <v>99</v>
      </c>
      <c r="F32" s="18" t="s">
        <v>33</v>
      </c>
      <c r="G32" s="18" t="s">
        <v>75</v>
      </c>
      <c r="H32" s="19" t="s">
        <v>231</v>
      </c>
      <c r="I32" s="19" t="s">
        <v>232</v>
      </c>
      <c r="J32" s="19" t="s">
        <v>233</v>
      </c>
      <c r="K32" s="19"/>
      <c r="L32" s="19" t="s">
        <v>80</v>
      </c>
      <c r="M32" s="19"/>
      <c r="N32" s="20" t="s">
        <v>126</v>
      </c>
      <c r="O32" s="37"/>
    </row>
    <row r="33" spans="1:15" ht="63.75" customHeight="1">
      <c r="A33" s="21" t="s">
        <v>234</v>
      </c>
      <c r="B33" s="22" t="s">
        <v>25</v>
      </c>
      <c r="C33" s="22" t="s">
        <v>191</v>
      </c>
      <c r="D33" s="22" t="s">
        <v>192</v>
      </c>
      <c r="E33" s="21" t="s">
        <v>99</v>
      </c>
      <c r="F33" s="18" t="s">
        <v>33</v>
      </c>
      <c r="G33" s="21" t="s">
        <v>75</v>
      </c>
      <c r="H33" s="22" t="s">
        <v>235</v>
      </c>
      <c r="I33" s="22" t="s">
        <v>236</v>
      </c>
      <c r="J33" s="22" t="s">
        <v>237</v>
      </c>
      <c r="K33" s="22"/>
      <c r="L33" s="22" t="s">
        <v>80</v>
      </c>
      <c r="M33" s="22"/>
      <c r="N33" s="20" t="s">
        <v>126</v>
      </c>
      <c r="O33" s="38"/>
    </row>
    <row r="34" spans="1:15" ht="48.75" customHeight="1">
      <c r="A34" s="18" t="s">
        <v>238</v>
      </c>
      <c r="B34" s="19" t="s">
        <v>25</v>
      </c>
      <c r="C34" s="19" t="s">
        <v>191</v>
      </c>
      <c r="D34" s="19" t="s">
        <v>192</v>
      </c>
      <c r="E34" s="18" t="s">
        <v>99</v>
      </c>
      <c r="F34" s="18" t="s">
        <v>37</v>
      </c>
      <c r="G34" s="18" t="s">
        <v>85</v>
      </c>
      <c r="H34" s="19" t="s">
        <v>239</v>
      </c>
      <c r="I34" s="19" t="s">
        <v>240</v>
      </c>
      <c r="J34" s="19" t="s">
        <v>241</v>
      </c>
      <c r="K34" s="19"/>
      <c r="L34" s="19" t="s">
        <v>80</v>
      </c>
      <c r="M34" s="19"/>
      <c r="N34" s="20" t="s">
        <v>97</v>
      </c>
      <c r="O34" s="37"/>
    </row>
    <row r="35" spans="1:15" ht="78.75" customHeight="1">
      <c r="A35" s="21" t="s">
        <v>242</v>
      </c>
      <c r="B35" s="22" t="s">
        <v>25</v>
      </c>
      <c r="C35" s="22" t="s">
        <v>191</v>
      </c>
      <c r="D35" s="22" t="s">
        <v>192</v>
      </c>
      <c r="E35" s="21" t="s">
        <v>99</v>
      </c>
      <c r="F35" s="18" t="s">
        <v>37</v>
      </c>
      <c r="G35" s="21" t="s">
        <v>85</v>
      </c>
      <c r="H35" s="22" t="s">
        <v>243</v>
      </c>
      <c r="I35" s="22" t="s">
        <v>244</v>
      </c>
      <c r="J35" s="22" t="s">
        <v>245</v>
      </c>
      <c r="K35" s="22"/>
      <c r="L35" s="22" t="s">
        <v>80</v>
      </c>
      <c r="M35" s="22"/>
      <c r="N35" s="20" t="s">
        <v>97</v>
      </c>
      <c r="O35" s="38"/>
    </row>
    <row r="36" spans="1:15" ht="138.75" customHeight="1">
      <c r="A36" s="18" t="s">
        <v>246</v>
      </c>
      <c r="B36" s="19" t="s">
        <v>25</v>
      </c>
      <c r="C36" s="19" t="s">
        <v>191</v>
      </c>
      <c r="D36" s="19" t="s">
        <v>192</v>
      </c>
      <c r="E36" s="18" t="s">
        <v>99</v>
      </c>
      <c r="F36" s="18" t="s">
        <v>35</v>
      </c>
      <c r="G36" s="18" t="s">
        <v>75</v>
      </c>
      <c r="H36" s="19" t="s">
        <v>247</v>
      </c>
      <c r="I36" s="19" t="s">
        <v>248</v>
      </c>
      <c r="J36" s="19" t="s">
        <v>249</v>
      </c>
      <c r="K36" s="19"/>
      <c r="L36" s="19" t="s">
        <v>80</v>
      </c>
      <c r="M36" s="19" t="s">
        <v>250</v>
      </c>
      <c r="N36" s="20" t="s">
        <v>135</v>
      </c>
      <c r="O36" s="37"/>
    </row>
    <row r="37" spans="1:15" ht="288.75" customHeight="1">
      <c r="A37" s="21" t="s">
        <v>251</v>
      </c>
      <c r="B37" s="22" t="s">
        <v>25</v>
      </c>
      <c r="C37" s="22" t="s">
        <v>252</v>
      </c>
      <c r="D37" s="22" t="s">
        <v>253</v>
      </c>
      <c r="E37" s="21" t="s">
        <v>169</v>
      </c>
      <c r="F37" s="18" t="s">
        <v>33</v>
      </c>
      <c r="G37" s="21" t="s">
        <v>75</v>
      </c>
      <c r="H37" s="22" t="s">
        <v>254</v>
      </c>
      <c r="I37" s="22" t="s">
        <v>255</v>
      </c>
      <c r="J37" s="22" t="s">
        <v>256</v>
      </c>
      <c r="K37" s="22" t="s">
        <v>257</v>
      </c>
      <c r="L37" s="22" t="s">
        <v>80</v>
      </c>
      <c r="M37" s="22" t="s">
        <v>258</v>
      </c>
      <c r="N37" s="20" t="s">
        <v>135</v>
      </c>
      <c r="O37" s="38"/>
    </row>
    <row r="38" spans="1:15" ht="63.75" customHeight="1">
      <c r="A38" s="18" t="s">
        <v>259</v>
      </c>
      <c r="B38" s="19" t="s">
        <v>25</v>
      </c>
      <c r="C38" s="19" t="s">
        <v>252</v>
      </c>
      <c r="D38" s="19" t="s">
        <v>253</v>
      </c>
      <c r="E38" s="18" t="s">
        <v>169</v>
      </c>
      <c r="F38" s="18" t="s">
        <v>35</v>
      </c>
      <c r="G38" s="18" t="s">
        <v>75</v>
      </c>
      <c r="H38" s="19" t="s">
        <v>260</v>
      </c>
      <c r="I38" s="19" t="s">
        <v>261</v>
      </c>
      <c r="J38" s="19" t="s">
        <v>262</v>
      </c>
      <c r="K38" s="19"/>
      <c r="L38" s="19" t="s">
        <v>80</v>
      </c>
      <c r="M38" s="19"/>
      <c r="N38" s="20" t="s">
        <v>108</v>
      </c>
      <c r="O38" s="37"/>
    </row>
    <row r="39" spans="1:15" ht="48.75" customHeight="1">
      <c r="A39" s="21" t="s">
        <v>263</v>
      </c>
      <c r="B39" s="22" t="s">
        <v>25</v>
      </c>
      <c r="C39" s="22" t="s">
        <v>252</v>
      </c>
      <c r="D39" s="22" t="s">
        <v>253</v>
      </c>
      <c r="E39" s="21" t="s">
        <v>99</v>
      </c>
      <c r="F39" s="18" t="s">
        <v>35</v>
      </c>
      <c r="G39" s="21" t="s">
        <v>85</v>
      </c>
      <c r="H39" s="22" t="s">
        <v>264</v>
      </c>
      <c r="I39" s="22" t="s">
        <v>265</v>
      </c>
      <c r="J39" s="22" t="s">
        <v>266</v>
      </c>
      <c r="K39" s="22"/>
      <c r="L39" s="22" t="s">
        <v>80</v>
      </c>
      <c r="M39" s="22"/>
      <c r="N39" s="20" t="s">
        <v>108</v>
      </c>
      <c r="O39" s="38"/>
    </row>
    <row r="40" spans="1:15" ht="48.75" customHeight="1">
      <c r="A40" s="18" t="s">
        <v>267</v>
      </c>
      <c r="B40" s="19" t="s">
        <v>25</v>
      </c>
      <c r="C40" s="19" t="s">
        <v>252</v>
      </c>
      <c r="D40" s="19" t="s">
        <v>253</v>
      </c>
      <c r="E40" s="18" t="s">
        <v>99</v>
      </c>
      <c r="F40" s="18" t="s">
        <v>37</v>
      </c>
      <c r="G40" s="18" t="s">
        <v>92</v>
      </c>
      <c r="H40" s="19" t="s">
        <v>268</v>
      </c>
      <c r="I40" s="19" t="s">
        <v>269</v>
      </c>
      <c r="J40" s="19" t="s">
        <v>270</v>
      </c>
      <c r="K40" s="19"/>
      <c r="L40" s="19" t="s">
        <v>80</v>
      </c>
      <c r="M40" s="19"/>
      <c r="N40" s="20" t="s">
        <v>108</v>
      </c>
      <c r="O40" s="37"/>
    </row>
    <row r="41" spans="1:15" ht="48.75" customHeight="1">
      <c r="A41" s="21" t="s">
        <v>271</v>
      </c>
      <c r="B41" s="22" t="s">
        <v>25</v>
      </c>
      <c r="C41" s="22" t="s">
        <v>252</v>
      </c>
      <c r="D41" s="22" t="s">
        <v>253</v>
      </c>
      <c r="E41" s="21" t="s">
        <v>99</v>
      </c>
      <c r="F41" s="18" t="s">
        <v>33</v>
      </c>
      <c r="G41" s="21" t="s">
        <v>85</v>
      </c>
      <c r="H41" s="22" t="s">
        <v>272</v>
      </c>
      <c r="I41" s="22" t="s">
        <v>273</v>
      </c>
      <c r="J41" s="22" t="s">
        <v>274</v>
      </c>
      <c r="K41" s="22" t="s">
        <v>275</v>
      </c>
      <c r="L41" s="22" t="s">
        <v>80</v>
      </c>
      <c r="M41" s="22"/>
      <c r="N41" s="20" t="s">
        <v>97</v>
      </c>
      <c r="O41" s="38"/>
    </row>
    <row r="42" spans="1:15" ht="123.75" customHeight="1">
      <c r="A42" s="18" t="s">
        <v>276</v>
      </c>
      <c r="B42" s="19" t="s">
        <v>25</v>
      </c>
      <c r="C42" s="19" t="s">
        <v>252</v>
      </c>
      <c r="D42" s="19" t="s">
        <v>253</v>
      </c>
      <c r="E42" s="18" t="s">
        <v>277</v>
      </c>
      <c r="F42" s="18" t="s">
        <v>33</v>
      </c>
      <c r="G42" s="18" t="s">
        <v>193</v>
      </c>
      <c r="H42" s="19" t="s">
        <v>278</v>
      </c>
      <c r="I42" s="19" t="s">
        <v>279</v>
      </c>
      <c r="J42" s="19" t="s">
        <v>280</v>
      </c>
      <c r="K42" s="19"/>
      <c r="L42" s="19" t="s">
        <v>80</v>
      </c>
      <c r="M42" s="19" t="s">
        <v>281</v>
      </c>
      <c r="N42" s="20" t="s">
        <v>97</v>
      </c>
      <c r="O42" s="37"/>
    </row>
    <row r="43" spans="1:15" ht="93.75" customHeight="1">
      <c r="A43" s="21" t="s">
        <v>282</v>
      </c>
      <c r="B43" s="22" t="s">
        <v>25</v>
      </c>
      <c r="C43" s="22" t="s">
        <v>252</v>
      </c>
      <c r="D43" s="22" t="s">
        <v>253</v>
      </c>
      <c r="E43" s="21" t="s">
        <v>74</v>
      </c>
      <c r="F43" s="18" t="s">
        <v>33</v>
      </c>
      <c r="G43" s="21" t="s">
        <v>193</v>
      </c>
      <c r="H43" s="22" t="s">
        <v>283</v>
      </c>
      <c r="I43" s="22" t="s">
        <v>284</v>
      </c>
      <c r="J43" s="22" t="s">
        <v>285</v>
      </c>
      <c r="K43" s="22"/>
      <c r="L43" s="22" t="s">
        <v>80</v>
      </c>
      <c r="M43" s="22"/>
      <c r="N43" s="20" t="s">
        <v>97</v>
      </c>
      <c r="O43" s="38"/>
    </row>
    <row r="44" spans="1:15" ht="48.75" customHeight="1">
      <c r="A44" s="18" t="s">
        <v>286</v>
      </c>
      <c r="B44" s="19" t="s">
        <v>25</v>
      </c>
      <c r="C44" s="19" t="s">
        <v>252</v>
      </c>
      <c r="D44" s="19" t="s">
        <v>253</v>
      </c>
      <c r="E44" s="18" t="s">
        <v>99</v>
      </c>
      <c r="F44" s="18" t="s">
        <v>37</v>
      </c>
      <c r="G44" s="18" t="s">
        <v>85</v>
      </c>
      <c r="H44" s="19" t="s">
        <v>287</v>
      </c>
      <c r="I44" s="19" t="s">
        <v>288</v>
      </c>
      <c r="J44" s="19" t="s">
        <v>289</v>
      </c>
      <c r="K44" s="19"/>
      <c r="L44" s="19" t="s">
        <v>80</v>
      </c>
      <c r="M44" s="19"/>
      <c r="N44" s="20" t="s">
        <v>117</v>
      </c>
      <c r="O44" s="37"/>
    </row>
    <row r="45" spans="1:15" ht="48.75" customHeight="1">
      <c r="A45" s="21" t="s">
        <v>290</v>
      </c>
      <c r="B45" s="22" t="s">
        <v>25</v>
      </c>
      <c r="C45" s="22" t="s">
        <v>252</v>
      </c>
      <c r="D45" s="22" t="s">
        <v>253</v>
      </c>
      <c r="E45" s="21" t="s">
        <v>99</v>
      </c>
      <c r="F45" s="18" t="s">
        <v>37</v>
      </c>
      <c r="G45" s="21" t="s">
        <v>85</v>
      </c>
      <c r="H45" s="22" t="s">
        <v>291</v>
      </c>
      <c r="I45" s="22" t="s">
        <v>292</v>
      </c>
      <c r="J45" s="22" t="s">
        <v>293</v>
      </c>
      <c r="K45" s="22"/>
      <c r="L45" s="22" t="s">
        <v>80</v>
      </c>
      <c r="M45" s="22"/>
      <c r="N45" s="20" t="s">
        <v>117</v>
      </c>
      <c r="O45" s="38"/>
    </row>
    <row r="46" spans="1:15" ht="78.75" customHeight="1">
      <c r="A46" s="18" t="s">
        <v>294</v>
      </c>
      <c r="B46" s="19" t="s">
        <v>25</v>
      </c>
      <c r="C46" s="19" t="s">
        <v>252</v>
      </c>
      <c r="D46" s="19" t="s">
        <v>253</v>
      </c>
      <c r="E46" s="18" t="s">
        <v>169</v>
      </c>
      <c r="F46" s="18" t="s">
        <v>33</v>
      </c>
      <c r="G46" s="18" t="s">
        <v>193</v>
      </c>
      <c r="H46" s="19" t="s">
        <v>295</v>
      </c>
      <c r="I46" s="19" t="s">
        <v>296</v>
      </c>
      <c r="J46" s="19" t="s">
        <v>297</v>
      </c>
      <c r="K46" s="19"/>
      <c r="L46" s="19" t="s">
        <v>80</v>
      </c>
      <c r="M46" s="19" t="s">
        <v>298</v>
      </c>
      <c r="N46" s="20" t="s">
        <v>117</v>
      </c>
      <c r="O46" s="37"/>
    </row>
    <row r="47" spans="1:15" ht="48.75" customHeight="1">
      <c r="A47" s="21" t="s">
        <v>299</v>
      </c>
      <c r="B47" s="22" t="s">
        <v>25</v>
      </c>
      <c r="C47" s="22" t="s">
        <v>252</v>
      </c>
      <c r="D47" s="22" t="s">
        <v>253</v>
      </c>
      <c r="E47" s="21" t="s">
        <v>99</v>
      </c>
      <c r="F47" s="18" t="s">
        <v>33</v>
      </c>
      <c r="G47" s="21" t="s">
        <v>85</v>
      </c>
      <c r="H47" s="22" t="s">
        <v>300</v>
      </c>
      <c r="I47" s="22" t="s">
        <v>301</v>
      </c>
      <c r="J47" s="22" t="s">
        <v>302</v>
      </c>
      <c r="K47" s="22"/>
      <c r="L47" s="22" t="s">
        <v>80</v>
      </c>
      <c r="M47" s="22"/>
      <c r="N47" s="20" t="s">
        <v>135</v>
      </c>
      <c r="O47" s="38"/>
    </row>
    <row r="48" spans="1:15" ht="48.75" customHeight="1">
      <c r="A48" s="18" t="s">
        <v>303</v>
      </c>
      <c r="B48" s="19" t="s">
        <v>25</v>
      </c>
      <c r="C48" s="19" t="s">
        <v>252</v>
      </c>
      <c r="D48" s="19" t="s">
        <v>253</v>
      </c>
      <c r="E48" s="18" t="s">
        <v>99</v>
      </c>
      <c r="F48" s="18" t="s">
        <v>37</v>
      </c>
      <c r="G48" s="18" t="s">
        <v>85</v>
      </c>
      <c r="H48" s="19" t="s">
        <v>304</v>
      </c>
      <c r="I48" s="19" t="s">
        <v>305</v>
      </c>
      <c r="J48" s="19" t="s">
        <v>306</v>
      </c>
      <c r="K48" s="19"/>
      <c r="L48" s="19" t="s">
        <v>80</v>
      </c>
      <c r="M48" s="19"/>
      <c r="N48" s="20" t="s">
        <v>135</v>
      </c>
      <c r="O48" s="37"/>
    </row>
    <row r="49" spans="1:15" ht="33.75" customHeight="1">
      <c r="A49" s="21" t="s">
        <v>307</v>
      </c>
      <c r="B49" s="22" t="s">
        <v>25</v>
      </c>
      <c r="C49" s="22" t="s">
        <v>252</v>
      </c>
      <c r="D49" s="22" t="s">
        <v>253</v>
      </c>
      <c r="E49" s="21" t="s">
        <v>99</v>
      </c>
      <c r="F49" s="18" t="s">
        <v>37</v>
      </c>
      <c r="G49" s="21" t="s">
        <v>92</v>
      </c>
      <c r="H49" s="22" t="s">
        <v>308</v>
      </c>
      <c r="I49" s="22" t="s">
        <v>309</v>
      </c>
      <c r="J49" s="22" t="s">
        <v>310</v>
      </c>
      <c r="K49" s="22"/>
      <c r="L49" s="22" t="s">
        <v>80</v>
      </c>
      <c r="M49" s="22"/>
      <c r="N49" s="20" t="s">
        <v>135</v>
      </c>
      <c r="O49" s="38"/>
    </row>
    <row r="50" spans="1:15" ht="48.75" customHeight="1">
      <c r="A50" s="18" t="s">
        <v>311</v>
      </c>
      <c r="B50" s="19" t="s">
        <v>25</v>
      </c>
      <c r="C50" s="19" t="s">
        <v>252</v>
      </c>
      <c r="D50" s="19" t="s">
        <v>253</v>
      </c>
      <c r="E50" s="18" t="s">
        <v>99</v>
      </c>
      <c r="F50" s="18" t="s">
        <v>35</v>
      </c>
      <c r="G50" s="18" t="s">
        <v>85</v>
      </c>
      <c r="H50" s="19" t="s">
        <v>312</v>
      </c>
      <c r="I50" s="19" t="s">
        <v>313</v>
      </c>
      <c r="J50" s="19" t="s">
        <v>314</v>
      </c>
      <c r="K50" s="19"/>
      <c r="L50" s="19" t="s">
        <v>80</v>
      </c>
      <c r="M50" s="19"/>
      <c r="N50" s="20" t="s">
        <v>82</v>
      </c>
      <c r="O50" s="37"/>
    </row>
    <row r="51" spans="1:15" ht="123.75" customHeight="1">
      <c r="A51" s="21" t="s">
        <v>315</v>
      </c>
      <c r="B51" s="22" t="s">
        <v>25</v>
      </c>
      <c r="C51" s="22" t="s">
        <v>252</v>
      </c>
      <c r="D51" s="22" t="s">
        <v>253</v>
      </c>
      <c r="E51" s="21" t="s">
        <v>277</v>
      </c>
      <c r="F51" s="18" t="s">
        <v>33</v>
      </c>
      <c r="G51" s="21" t="s">
        <v>75</v>
      </c>
      <c r="H51" s="22" t="s">
        <v>316</v>
      </c>
      <c r="I51" s="22" t="s">
        <v>317</v>
      </c>
      <c r="J51" s="22" t="s">
        <v>318</v>
      </c>
      <c r="K51" s="22" t="s">
        <v>319</v>
      </c>
      <c r="L51" s="22" t="s">
        <v>80</v>
      </c>
      <c r="M51" s="22" t="s">
        <v>320</v>
      </c>
      <c r="N51" s="20" t="s">
        <v>82</v>
      </c>
      <c r="O51" s="38"/>
    </row>
    <row r="52" spans="1:15" ht="93.75" customHeight="1">
      <c r="A52" s="18" t="s">
        <v>321</v>
      </c>
      <c r="B52" s="19" t="s">
        <v>25</v>
      </c>
      <c r="C52" s="19" t="s">
        <v>322</v>
      </c>
      <c r="D52" s="19" t="s">
        <v>323</v>
      </c>
      <c r="E52" s="18" t="s">
        <v>74</v>
      </c>
      <c r="F52" s="18" t="s">
        <v>33</v>
      </c>
      <c r="G52" s="18" t="s">
        <v>75</v>
      </c>
      <c r="H52" s="19" t="s">
        <v>324</v>
      </c>
      <c r="I52" s="19" t="s">
        <v>325</v>
      </c>
      <c r="J52" s="19" t="s">
        <v>326</v>
      </c>
      <c r="K52" s="19"/>
      <c r="L52" s="19" t="s">
        <v>80</v>
      </c>
      <c r="M52" s="19" t="s">
        <v>327</v>
      </c>
      <c r="N52" s="20" t="s">
        <v>82</v>
      </c>
      <c r="O52" s="37"/>
    </row>
    <row r="53" spans="1:15" ht="93.75" customHeight="1">
      <c r="A53" s="21" t="s">
        <v>328</v>
      </c>
      <c r="B53" s="22" t="s">
        <v>25</v>
      </c>
      <c r="C53" s="22" t="s">
        <v>322</v>
      </c>
      <c r="D53" s="22" t="s">
        <v>323</v>
      </c>
      <c r="E53" s="21" t="s">
        <v>277</v>
      </c>
      <c r="F53" s="18" t="s">
        <v>33</v>
      </c>
      <c r="G53" s="21" t="s">
        <v>75</v>
      </c>
      <c r="H53" s="22" t="s">
        <v>329</v>
      </c>
      <c r="I53" s="22" t="s">
        <v>330</v>
      </c>
      <c r="J53" s="22" t="s">
        <v>331</v>
      </c>
      <c r="K53" s="22"/>
      <c r="L53" s="22" t="s">
        <v>80</v>
      </c>
      <c r="M53" s="22"/>
      <c r="N53" s="20" t="s">
        <v>126</v>
      </c>
      <c r="O53" s="38"/>
    </row>
    <row r="54" spans="1:15" ht="48.75" customHeight="1">
      <c r="A54" s="18" t="s">
        <v>332</v>
      </c>
      <c r="B54" s="19" t="s">
        <v>25</v>
      </c>
      <c r="C54" s="19" t="s">
        <v>322</v>
      </c>
      <c r="D54" s="19" t="s">
        <v>323</v>
      </c>
      <c r="E54" s="18" t="s">
        <v>169</v>
      </c>
      <c r="F54" s="18" t="s">
        <v>35</v>
      </c>
      <c r="G54" s="18" t="s">
        <v>85</v>
      </c>
      <c r="H54" s="19" t="s">
        <v>333</v>
      </c>
      <c r="I54" s="19" t="s">
        <v>334</v>
      </c>
      <c r="J54" s="19" t="s">
        <v>335</v>
      </c>
      <c r="K54" s="19"/>
      <c r="L54" s="19" t="s">
        <v>80</v>
      </c>
      <c r="M54" s="19"/>
      <c r="N54" s="20" t="s">
        <v>126</v>
      </c>
      <c r="O54" s="37"/>
    </row>
    <row r="55" spans="1:15" ht="63.75" customHeight="1">
      <c r="A55" s="21" t="s">
        <v>336</v>
      </c>
      <c r="B55" s="22" t="s">
        <v>25</v>
      </c>
      <c r="C55" s="22" t="s">
        <v>322</v>
      </c>
      <c r="D55" s="22" t="s">
        <v>323</v>
      </c>
      <c r="E55" s="21" t="s">
        <v>99</v>
      </c>
      <c r="F55" s="18" t="s">
        <v>35</v>
      </c>
      <c r="G55" s="21" t="s">
        <v>85</v>
      </c>
      <c r="H55" s="22" t="s">
        <v>337</v>
      </c>
      <c r="I55" s="22" t="s">
        <v>338</v>
      </c>
      <c r="J55" s="22" t="s">
        <v>339</v>
      </c>
      <c r="K55" s="22"/>
      <c r="L55" s="22" t="s">
        <v>80</v>
      </c>
      <c r="M55" s="22"/>
      <c r="N55" s="20" t="s">
        <v>126</v>
      </c>
      <c r="O55" s="38"/>
    </row>
    <row r="56" spans="1:15" ht="63.75" customHeight="1">
      <c r="A56" s="18" t="s">
        <v>340</v>
      </c>
      <c r="B56" s="19" t="s">
        <v>25</v>
      </c>
      <c r="C56" s="19" t="s">
        <v>322</v>
      </c>
      <c r="D56" s="19" t="s">
        <v>323</v>
      </c>
      <c r="E56" s="18" t="s">
        <v>99</v>
      </c>
      <c r="F56" s="18" t="s">
        <v>37</v>
      </c>
      <c r="G56" s="18" t="s">
        <v>92</v>
      </c>
      <c r="H56" s="19" t="s">
        <v>341</v>
      </c>
      <c r="I56" s="19" t="s">
        <v>342</v>
      </c>
      <c r="J56" s="19"/>
      <c r="K56" s="19"/>
      <c r="L56" s="19" t="s">
        <v>80</v>
      </c>
      <c r="M56" s="19"/>
      <c r="N56" s="20" t="s">
        <v>108</v>
      </c>
      <c r="O56" s="37"/>
    </row>
    <row r="57" spans="1:15" ht="63.75" customHeight="1">
      <c r="A57" s="21" t="s">
        <v>343</v>
      </c>
      <c r="B57" s="22" t="s">
        <v>25</v>
      </c>
      <c r="C57" s="22" t="s">
        <v>322</v>
      </c>
      <c r="D57" s="22" t="s">
        <v>323</v>
      </c>
      <c r="E57" s="21" t="s">
        <v>74</v>
      </c>
      <c r="F57" s="18" t="s">
        <v>33</v>
      </c>
      <c r="G57" s="21" t="s">
        <v>85</v>
      </c>
      <c r="H57" s="22" t="s">
        <v>344</v>
      </c>
      <c r="I57" s="22" t="s">
        <v>345</v>
      </c>
      <c r="J57" s="22" t="s">
        <v>346</v>
      </c>
      <c r="K57" s="22"/>
      <c r="L57" s="22" t="s">
        <v>80</v>
      </c>
      <c r="M57" s="22"/>
      <c r="N57" s="20" t="s">
        <v>97</v>
      </c>
      <c r="O57" s="38"/>
    </row>
    <row r="58" spans="1:15" ht="48.75" customHeight="1">
      <c r="A58" s="18" t="s">
        <v>347</v>
      </c>
      <c r="B58" s="19" t="s">
        <v>25</v>
      </c>
      <c r="C58" s="19" t="s">
        <v>322</v>
      </c>
      <c r="D58" s="19" t="s">
        <v>323</v>
      </c>
      <c r="E58" s="18" t="s">
        <v>99</v>
      </c>
      <c r="F58" s="18" t="s">
        <v>33</v>
      </c>
      <c r="G58" s="18" t="s">
        <v>85</v>
      </c>
      <c r="H58" s="29" t="s">
        <v>348</v>
      </c>
      <c r="I58" s="19" t="s">
        <v>349</v>
      </c>
      <c r="J58" s="19" t="s">
        <v>350</v>
      </c>
      <c r="K58" s="19"/>
      <c r="L58" s="19" t="s">
        <v>80</v>
      </c>
      <c r="M58" s="19"/>
      <c r="N58" s="20" t="s">
        <v>97</v>
      </c>
      <c r="O58" s="37"/>
    </row>
    <row r="59" spans="1:15" ht="78.75" customHeight="1">
      <c r="A59" s="21" t="s">
        <v>351</v>
      </c>
      <c r="B59" s="22" t="s">
        <v>25</v>
      </c>
      <c r="C59" s="22" t="s">
        <v>322</v>
      </c>
      <c r="D59" s="22" t="s">
        <v>323</v>
      </c>
      <c r="E59" s="21" t="s">
        <v>99</v>
      </c>
      <c r="F59" s="18" t="s">
        <v>37</v>
      </c>
      <c r="G59" s="21" t="s">
        <v>75</v>
      </c>
      <c r="H59" s="22" t="s">
        <v>352</v>
      </c>
      <c r="I59" s="22" t="s">
        <v>353</v>
      </c>
      <c r="J59" s="22" t="s">
        <v>354</v>
      </c>
      <c r="K59" s="22"/>
      <c r="L59" s="22" t="s">
        <v>80</v>
      </c>
      <c r="M59" s="22"/>
      <c r="N59" s="20" t="s">
        <v>117</v>
      </c>
      <c r="O59" s="38"/>
    </row>
    <row r="60" spans="1:15" ht="63.75" customHeight="1">
      <c r="A60" s="18" t="s">
        <v>355</v>
      </c>
      <c r="B60" s="19" t="s">
        <v>25</v>
      </c>
      <c r="C60" s="19" t="s">
        <v>322</v>
      </c>
      <c r="D60" s="19" t="s">
        <v>323</v>
      </c>
      <c r="E60" s="18" t="s">
        <v>99</v>
      </c>
      <c r="F60" s="18" t="s">
        <v>37</v>
      </c>
      <c r="G60" s="18" t="s">
        <v>75</v>
      </c>
      <c r="H60" s="19" t="s">
        <v>356</v>
      </c>
      <c r="I60" s="19" t="s">
        <v>357</v>
      </c>
      <c r="J60" s="19" t="s">
        <v>358</v>
      </c>
      <c r="K60" s="19"/>
      <c r="L60" s="19" t="s">
        <v>80</v>
      </c>
      <c r="M60" s="19"/>
      <c r="N60" s="20" t="s">
        <v>117</v>
      </c>
      <c r="O60" s="37"/>
    </row>
    <row r="61" spans="1:15" ht="48.75" customHeight="1">
      <c r="A61" s="21" t="s">
        <v>359</v>
      </c>
      <c r="B61" s="22" t="s">
        <v>25</v>
      </c>
      <c r="C61" s="22" t="s">
        <v>322</v>
      </c>
      <c r="D61" s="22" t="s">
        <v>323</v>
      </c>
      <c r="E61" s="21" t="s">
        <v>99</v>
      </c>
      <c r="F61" s="18" t="s">
        <v>37</v>
      </c>
      <c r="G61" s="21" t="s">
        <v>85</v>
      </c>
      <c r="H61" s="22" t="s">
        <v>360</v>
      </c>
      <c r="I61" s="22" t="s">
        <v>361</v>
      </c>
      <c r="J61" s="22" t="s">
        <v>362</v>
      </c>
      <c r="K61" s="22"/>
      <c r="L61" s="22" t="s">
        <v>80</v>
      </c>
      <c r="M61" s="22"/>
      <c r="N61" s="20" t="s">
        <v>82</v>
      </c>
      <c r="O61" s="38"/>
    </row>
    <row r="62" spans="1:15" ht="63.75" customHeight="1">
      <c r="A62" s="18" t="s">
        <v>363</v>
      </c>
      <c r="B62" s="19" t="s">
        <v>25</v>
      </c>
      <c r="C62" s="19" t="s">
        <v>322</v>
      </c>
      <c r="D62" s="19" t="s">
        <v>323</v>
      </c>
      <c r="E62" s="18" t="s">
        <v>99</v>
      </c>
      <c r="F62" s="18" t="s">
        <v>37</v>
      </c>
      <c r="G62" s="18" t="s">
        <v>85</v>
      </c>
      <c r="H62" s="19" t="s">
        <v>364</v>
      </c>
      <c r="I62" s="19" t="s">
        <v>365</v>
      </c>
      <c r="J62" s="19" t="s">
        <v>366</v>
      </c>
      <c r="K62" s="19"/>
      <c r="L62" s="19" t="s">
        <v>80</v>
      </c>
      <c r="M62" s="19"/>
      <c r="N62" s="20" t="s">
        <v>82</v>
      </c>
      <c r="O62" s="37"/>
    </row>
    <row r="63" spans="1:15" ht="63.75" customHeight="1">
      <c r="A63" s="21" t="s">
        <v>367</v>
      </c>
      <c r="B63" s="22" t="s">
        <v>25</v>
      </c>
      <c r="C63" s="22" t="s">
        <v>322</v>
      </c>
      <c r="D63" s="22" t="s">
        <v>323</v>
      </c>
      <c r="E63" s="21" t="s">
        <v>99</v>
      </c>
      <c r="F63" s="18" t="s">
        <v>37</v>
      </c>
      <c r="G63" s="21" t="s">
        <v>85</v>
      </c>
      <c r="H63" s="22" t="s">
        <v>368</v>
      </c>
      <c r="I63" s="22" t="s">
        <v>369</v>
      </c>
      <c r="J63" s="22" t="s">
        <v>370</v>
      </c>
      <c r="K63" s="22"/>
      <c r="L63" s="22" t="s">
        <v>80</v>
      </c>
      <c r="M63" s="22"/>
      <c r="N63" s="20" t="s">
        <v>126</v>
      </c>
      <c r="O63" s="38"/>
    </row>
    <row r="64" spans="1:15" ht="78.75" customHeight="1">
      <c r="A64" s="18" t="s">
        <v>371</v>
      </c>
      <c r="B64" s="19" t="s">
        <v>25</v>
      </c>
      <c r="C64" s="19" t="s">
        <v>322</v>
      </c>
      <c r="D64" s="19" t="s">
        <v>323</v>
      </c>
      <c r="E64" s="18" t="s">
        <v>99</v>
      </c>
      <c r="F64" s="18" t="s">
        <v>35</v>
      </c>
      <c r="G64" s="18" t="s">
        <v>75</v>
      </c>
      <c r="H64" s="19" t="s">
        <v>372</v>
      </c>
      <c r="I64" s="19" t="s">
        <v>373</v>
      </c>
      <c r="J64" s="19" t="s">
        <v>374</v>
      </c>
      <c r="K64" s="19"/>
      <c r="L64" s="19" t="s">
        <v>375</v>
      </c>
      <c r="M64" s="19"/>
      <c r="N64" s="20" t="s">
        <v>126</v>
      </c>
      <c r="O64" s="37"/>
    </row>
    <row r="65" spans="1:15" ht="78.75" customHeight="1">
      <c r="A65" s="21" t="s">
        <v>376</v>
      </c>
      <c r="B65" s="22" t="s">
        <v>25</v>
      </c>
      <c r="C65" s="22" t="s">
        <v>322</v>
      </c>
      <c r="D65" s="22" t="s">
        <v>323</v>
      </c>
      <c r="E65" s="21" t="s">
        <v>99</v>
      </c>
      <c r="F65" s="18" t="s">
        <v>33</v>
      </c>
      <c r="G65" s="21" t="s">
        <v>75</v>
      </c>
      <c r="H65" s="22" t="s">
        <v>377</v>
      </c>
      <c r="I65" s="22" t="s">
        <v>378</v>
      </c>
      <c r="J65" s="22" t="s">
        <v>379</v>
      </c>
      <c r="K65" s="22"/>
      <c r="L65" s="22" t="s">
        <v>80</v>
      </c>
      <c r="M65" s="22"/>
      <c r="N65" s="20" t="s">
        <v>135</v>
      </c>
      <c r="O65" s="38"/>
    </row>
    <row r="66" spans="1:15" ht="78.75" customHeight="1">
      <c r="A66" s="18" t="s">
        <v>380</v>
      </c>
      <c r="B66" s="19" t="s">
        <v>25</v>
      </c>
      <c r="C66" s="19" t="s">
        <v>322</v>
      </c>
      <c r="D66" s="19" t="s">
        <v>323</v>
      </c>
      <c r="E66" s="18" t="s">
        <v>99</v>
      </c>
      <c r="F66" s="18" t="s">
        <v>33</v>
      </c>
      <c r="G66" s="18" t="s">
        <v>75</v>
      </c>
      <c r="H66" s="19" t="s">
        <v>381</v>
      </c>
      <c r="I66" s="19" t="s">
        <v>382</v>
      </c>
      <c r="J66" s="19" t="s">
        <v>383</v>
      </c>
      <c r="K66" s="19"/>
      <c r="L66" s="19" t="s">
        <v>80</v>
      </c>
      <c r="M66" s="19" t="s">
        <v>384</v>
      </c>
      <c r="N66" s="20" t="s">
        <v>135</v>
      </c>
      <c r="O66" s="37"/>
    </row>
    <row r="67" spans="1:15" ht="138.75" customHeight="1">
      <c r="A67" s="21" t="s">
        <v>385</v>
      </c>
      <c r="B67" s="22" t="s">
        <v>27</v>
      </c>
      <c r="C67" s="22" t="s">
        <v>386</v>
      </c>
      <c r="D67" s="22" t="s">
        <v>387</v>
      </c>
      <c r="E67" s="21" t="s">
        <v>388</v>
      </c>
      <c r="F67" s="18" t="s">
        <v>33</v>
      </c>
      <c r="G67" s="21" t="s">
        <v>75</v>
      </c>
      <c r="H67" s="22" t="s">
        <v>389</v>
      </c>
      <c r="I67" s="22" t="s">
        <v>390</v>
      </c>
      <c r="J67" s="22" t="s">
        <v>391</v>
      </c>
      <c r="K67" s="22" t="s">
        <v>392</v>
      </c>
      <c r="L67" s="22" t="s">
        <v>80</v>
      </c>
      <c r="M67" s="22" t="s">
        <v>393</v>
      </c>
      <c r="N67" s="20"/>
      <c r="O67" s="38"/>
    </row>
    <row r="68" spans="1:15" ht="63.75" customHeight="1">
      <c r="A68" s="18" t="s">
        <v>394</v>
      </c>
      <c r="B68" s="19" t="s">
        <v>27</v>
      </c>
      <c r="C68" s="19" t="s">
        <v>386</v>
      </c>
      <c r="D68" s="19" t="s">
        <v>387</v>
      </c>
      <c r="E68" s="18" t="s">
        <v>99</v>
      </c>
      <c r="F68" s="18" t="s">
        <v>37</v>
      </c>
      <c r="G68" s="18" t="s">
        <v>85</v>
      </c>
      <c r="H68" s="19" t="s">
        <v>395</v>
      </c>
      <c r="I68" s="19" t="s">
        <v>396</v>
      </c>
      <c r="J68" s="19" t="s">
        <v>397</v>
      </c>
      <c r="K68" s="19"/>
      <c r="L68" s="19" t="s">
        <v>80</v>
      </c>
      <c r="M68" s="19"/>
      <c r="N68" s="20"/>
      <c r="O68" s="37"/>
    </row>
    <row r="69" spans="1:15" ht="63.75" customHeight="1">
      <c r="A69" s="21" t="s">
        <v>398</v>
      </c>
      <c r="B69" s="22" t="s">
        <v>27</v>
      </c>
      <c r="C69" s="22" t="s">
        <v>386</v>
      </c>
      <c r="D69" s="22" t="s">
        <v>387</v>
      </c>
      <c r="E69" s="21" t="s">
        <v>99</v>
      </c>
      <c r="F69" s="18" t="s">
        <v>33</v>
      </c>
      <c r="G69" s="21" t="s">
        <v>75</v>
      </c>
      <c r="H69" s="22" t="s">
        <v>399</v>
      </c>
      <c r="I69" s="22" t="s">
        <v>400</v>
      </c>
      <c r="J69" s="22" t="s">
        <v>401</v>
      </c>
      <c r="K69" s="22"/>
      <c r="L69" s="22" t="s">
        <v>80</v>
      </c>
      <c r="M69" s="22" t="s">
        <v>402</v>
      </c>
      <c r="N69" s="20"/>
      <c r="O69" s="38"/>
    </row>
    <row r="70" spans="1:15" ht="63.75" customHeight="1">
      <c r="A70" s="18" t="s">
        <v>403</v>
      </c>
      <c r="B70" s="19" t="s">
        <v>27</v>
      </c>
      <c r="C70" s="19" t="s">
        <v>386</v>
      </c>
      <c r="D70" s="19" t="s">
        <v>387</v>
      </c>
      <c r="E70" s="18" t="s">
        <v>99</v>
      </c>
      <c r="F70" s="18" t="s">
        <v>33</v>
      </c>
      <c r="G70" s="18" t="s">
        <v>75</v>
      </c>
      <c r="H70" s="19" t="s">
        <v>404</v>
      </c>
      <c r="I70" s="19" t="s">
        <v>405</v>
      </c>
      <c r="J70" s="19" t="s">
        <v>406</v>
      </c>
      <c r="K70" s="19"/>
      <c r="L70" s="19" t="s">
        <v>80</v>
      </c>
      <c r="M70" s="19"/>
      <c r="N70" s="20"/>
      <c r="O70" s="37"/>
    </row>
    <row r="71" spans="1:15" ht="48.75" customHeight="1">
      <c r="A71" s="21" t="s">
        <v>407</v>
      </c>
      <c r="B71" s="22" t="s">
        <v>27</v>
      </c>
      <c r="C71" s="22" t="s">
        <v>386</v>
      </c>
      <c r="D71" s="22" t="s">
        <v>387</v>
      </c>
      <c r="E71" s="21" t="s">
        <v>99</v>
      </c>
      <c r="F71" s="18" t="s">
        <v>35</v>
      </c>
      <c r="G71" s="21" t="s">
        <v>85</v>
      </c>
      <c r="H71" s="22" t="s">
        <v>408</v>
      </c>
      <c r="I71" s="22" t="s">
        <v>409</v>
      </c>
      <c r="J71" s="22" t="s">
        <v>410</v>
      </c>
      <c r="K71" s="22"/>
      <c r="L71" s="22" t="s">
        <v>80</v>
      </c>
      <c r="M71" s="22"/>
      <c r="N71" s="20"/>
      <c r="O71" s="38"/>
    </row>
    <row r="72" spans="1:15" ht="48.75" customHeight="1">
      <c r="A72" s="18" t="s">
        <v>411</v>
      </c>
      <c r="B72" s="19" t="s">
        <v>27</v>
      </c>
      <c r="C72" s="19" t="s">
        <v>386</v>
      </c>
      <c r="D72" s="19" t="s">
        <v>387</v>
      </c>
      <c r="E72" s="18" t="s">
        <v>99</v>
      </c>
      <c r="F72" s="18" t="s">
        <v>35</v>
      </c>
      <c r="G72" s="18" t="s">
        <v>75</v>
      </c>
      <c r="H72" s="19" t="s">
        <v>412</v>
      </c>
      <c r="I72" s="19" t="s">
        <v>413</v>
      </c>
      <c r="J72" s="19" t="s">
        <v>414</v>
      </c>
      <c r="K72" s="19"/>
      <c r="L72" s="19" t="s">
        <v>80</v>
      </c>
      <c r="M72" s="19"/>
      <c r="N72" s="20"/>
      <c r="O72" s="37"/>
    </row>
    <row r="73" spans="1:15" s="32" customFormat="1" ht="48.75" customHeight="1">
      <c r="A73" s="30" t="s">
        <v>415</v>
      </c>
      <c r="B73" s="31" t="s">
        <v>27</v>
      </c>
      <c r="C73" s="31" t="s">
        <v>386</v>
      </c>
      <c r="D73" s="31" t="s">
        <v>387</v>
      </c>
      <c r="E73" s="30" t="s">
        <v>99</v>
      </c>
      <c r="F73" s="30" t="s">
        <v>33</v>
      </c>
      <c r="G73" s="30" t="s">
        <v>75</v>
      </c>
      <c r="H73" s="31"/>
      <c r="I73" s="31" t="s">
        <v>416</v>
      </c>
      <c r="J73" s="31" t="s">
        <v>417</v>
      </c>
      <c r="K73" s="31"/>
      <c r="L73" s="31" t="s">
        <v>80</v>
      </c>
      <c r="M73" s="31"/>
      <c r="N73" s="31"/>
      <c r="O73" s="39"/>
    </row>
    <row r="74" spans="1:15" ht="48.75" customHeight="1">
      <c r="A74" s="18" t="s">
        <v>418</v>
      </c>
      <c r="B74" s="19" t="s">
        <v>27</v>
      </c>
      <c r="C74" s="19" t="s">
        <v>386</v>
      </c>
      <c r="D74" s="19" t="s">
        <v>387</v>
      </c>
      <c r="E74" s="18" t="s">
        <v>99</v>
      </c>
      <c r="F74" s="18" t="s">
        <v>35</v>
      </c>
      <c r="G74" s="18" t="s">
        <v>75</v>
      </c>
      <c r="H74" s="19" t="s">
        <v>419</v>
      </c>
      <c r="I74" s="19" t="s">
        <v>420</v>
      </c>
      <c r="J74" s="19" t="s">
        <v>421</v>
      </c>
      <c r="K74" s="19"/>
      <c r="L74" s="19" t="s">
        <v>80</v>
      </c>
      <c r="M74" s="19"/>
      <c r="N74" s="20"/>
      <c r="O74" s="37"/>
    </row>
    <row r="75" spans="1:15" s="35" customFormat="1" ht="33.75" customHeight="1">
      <c r="A75" s="33" t="s">
        <v>422</v>
      </c>
      <c r="B75" s="34" t="s">
        <v>27</v>
      </c>
      <c r="C75" s="34" t="s">
        <v>386</v>
      </c>
      <c r="D75" s="34" t="s">
        <v>387</v>
      </c>
      <c r="E75" s="33" t="s">
        <v>99</v>
      </c>
      <c r="F75" s="33" t="s">
        <v>37</v>
      </c>
      <c r="G75" s="33" t="s">
        <v>85</v>
      </c>
      <c r="H75" s="34"/>
      <c r="I75" s="34" t="s">
        <v>423</v>
      </c>
      <c r="J75" s="34" t="s">
        <v>424</v>
      </c>
      <c r="K75" s="34"/>
      <c r="L75" s="34" t="s">
        <v>80</v>
      </c>
      <c r="M75" s="34"/>
      <c r="N75" s="34"/>
      <c r="O75" s="40"/>
    </row>
    <row r="76" spans="1:15" s="35" customFormat="1" ht="48.75" customHeight="1">
      <c r="A76" s="33" t="s">
        <v>425</v>
      </c>
      <c r="B76" s="34" t="s">
        <v>27</v>
      </c>
      <c r="C76" s="34" t="s">
        <v>386</v>
      </c>
      <c r="D76" s="34" t="s">
        <v>387</v>
      </c>
      <c r="E76" s="33" t="s">
        <v>99</v>
      </c>
      <c r="F76" s="33" t="s">
        <v>37</v>
      </c>
      <c r="G76" s="33" t="s">
        <v>92</v>
      </c>
      <c r="H76" s="34"/>
      <c r="I76" s="34" t="s">
        <v>426</v>
      </c>
      <c r="J76" s="34" t="s">
        <v>427</v>
      </c>
      <c r="K76" s="34"/>
      <c r="L76" s="34" t="s">
        <v>80</v>
      </c>
      <c r="M76" s="34"/>
      <c r="N76" s="34"/>
      <c r="O76" s="40"/>
    </row>
    <row r="77" spans="1:15" ht="33.75" customHeight="1">
      <c r="A77" s="21" t="s">
        <v>428</v>
      </c>
      <c r="B77" s="22" t="s">
        <v>27</v>
      </c>
      <c r="C77" s="22" t="s">
        <v>386</v>
      </c>
      <c r="D77" s="22" t="s">
        <v>387</v>
      </c>
      <c r="E77" s="21" t="s">
        <v>99</v>
      </c>
      <c r="F77" s="18" t="s">
        <v>37</v>
      </c>
      <c r="G77" s="21" t="s">
        <v>85</v>
      </c>
      <c r="H77" s="22" t="s">
        <v>429</v>
      </c>
      <c r="I77" s="22" t="s">
        <v>430</v>
      </c>
      <c r="J77" s="22" t="s">
        <v>431</v>
      </c>
      <c r="K77" s="22"/>
      <c r="L77" s="22" t="s">
        <v>80</v>
      </c>
      <c r="M77" s="22"/>
      <c r="N77" s="20"/>
      <c r="O77" s="38"/>
    </row>
    <row r="78" spans="1:15" ht="33.75" customHeight="1">
      <c r="A78" s="18" t="s">
        <v>432</v>
      </c>
      <c r="B78" s="19" t="s">
        <v>27</v>
      </c>
      <c r="C78" s="19" t="s">
        <v>386</v>
      </c>
      <c r="D78" s="19" t="s">
        <v>387</v>
      </c>
      <c r="E78" s="18" t="s">
        <v>99</v>
      </c>
      <c r="F78" s="18" t="s">
        <v>39</v>
      </c>
      <c r="G78" s="18" t="s">
        <v>92</v>
      </c>
      <c r="H78" s="19" t="s">
        <v>433</v>
      </c>
      <c r="I78" s="19" t="s">
        <v>434</v>
      </c>
      <c r="J78" s="19" t="s">
        <v>435</v>
      </c>
      <c r="K78" s="19"/>
      <c r="L78" s="19" t="s">
        <v>80</v>
      </c>
      <c r="M78" s="19"/>
      <c r="N78" s="20"/>
      <c r="O78" s="37"/>
    </row>
    <row r="79" spans="1:15" ht="78.75" customHeight="1">
      <c r="A79" s="21" t="s">
        <v>436</v>
      </c>
      <c r="B79" s="22" t="s">
        <v>27</v>
      </c>
      <c r="C79" s="22" t="s">
        <v>386</v>
      </c>
      <c r="D79" s="22" t="s">
        <v>387</v>
      </c>
      <c r="E79" s="21" t="s">
        <v>99</v>
      </c>
      <c r="F79" s="18" t="s">
        <v>33</v>
      </c>
      <c r="G79" s="21" t="s">
        <v>193</v>
      </c>
      <c r="H79" s="22" t="s">
        <v>437</v>
      </c>
      <c r="I79" s="22" t="s">
        <v>438</v>
      </c>
      <c r="J79" s="22" t="s">
        <v>439</v>
      </c>
      <c r="K79" s="22"/>
      <c r="L79" s="22" t="s">
        <v>80</v>
      </c>
      <c r="M79" s="22"/>
      <c r="N79" s="20"/>
      <c r="O79" s="38"/>
    </row>
    <row r="80" spans="1:15" ht="63.75" customHeight="1">
      <c r="A80" s="18" t="s">
        <v>440</v>
      </c>
      <c r="B80" s="19" t="s">
        <v>27</v>
      </c>
      <c r="C80" s="19" t="s">
        <v>386</v>
      </c>
      <c r="D80" s="19" t="s">
        <v>387</v>
      </c>
      <c r="E80" s="18" t="s">
        <v>99</v>
      </c>
      <c r="F80" s="18" t="s">
        <v>33</v>
      </c>
      <c r="G80" s="18" t="s">
        <v>193</v>
      </c>
      <c r="H80" s="19" t="s">
        <v>441</v>
      </c>
      <c r="I80" s="19" t="s">
        <v>442</v>
      </c>
      <c r="J80" s="19" t="s">
        <v>443</v>
      </c>
      <c r="K80" s="19"/>
      <c r="L80" s="19" t="s">
        <v>80</v>
      </c>
      <c r="M80" s="19"/>
      <c r="N80" s="20"/>
      <c r="O80" s="37"/>
    </row>
    <row r="81" spans="1:15" ht="48.75" customHeight="1">
      <c r="A81" s="21" t="s">
        <v>444</v>
      </c>
      <c r="B81" s="22" t="s">
        <v>27</v>
      </c>
      <c r="C81" s="22" t="s">
        <v>386</v>
      </c>
      <c r="D81" s="22" t="s">
        <v>387</v>
      </c>
      <c r="E81" s="21" t="s">
        <v>99</v>
      </c>
      <c r="F81" s="18" t="s">
        <v>37</v>
      </c>
      <c r="G81" s="21" t="s">
        <v>75</v>
      </c>
      <c r="H81" s="22" t="s">
        <v>445</v>
      </c>
      <c r="I81" s="22" t="s">
        <v>446</v>
      </c>
      <c r="J81" s="22" t="s">
        <v>447</v>
      </c>
      <c r="K81" s="22"/>
      <c r="L81" s="22" t="s">
        <v>80</v>
      </c>
      <c r="M81" s="22"/>
      <c r="N81" s="20"/>
      <c r="O81" s="38"/>
    </row>
    <row r="82" spans="1:15" ht="138.75" customHeight="1">
      <c r="A82" s="18" t="s">
        <v>448</v>
      </c>
      <c r="B82" s="19" t="s">
        <v>27</v>
      </c>
      <c r="C82" s="19" t="s">
        <v>449</v>
      </c>
      <c r="D82" s="19" t="s">
        <v>450</v>
      </c>
      <c r="E82" s="18" t="s">
        <v>388</v>
      </c>
      <c r="F82" s="18" t="s">
        <v>33</v>
      </c>
      <c r="G82" s="18" t="s">
        <v>75</v>
      </c>
      <c r="H82" s="19" t="s">
        <v>451</v>
      </c>
      <c r="I82" s="19" t="s">
        <v>452</v>
      </c>
      <c r="J82" s="19" t="s">
        <v>453</v>
      </c>
      <c r="K82" s="19"/>
      <c r="L82" s="19" t="s">
        <v>80</v>
      </c>
      <c r="M82" s="19" t="s">
        <v>454</v>
      </c>
      <c r="N82" s="20"/>
      <c r="O82" s="37"/>
    </row>
    <row r="83" spans="1:15" ht="63.75" customHeight="1">
      <c r="A83" s="21" t="s">
        <v>455</v>
      </c>
      <c r="B83" s="22" t="s">
        <v>27</v>
      </c>
      <c r="C83" s="22" t="s">
        <v>449</v>
      </c>
      <c r="D83" s="22" t="s">
        <v>450</v>
      </c>
      <c r="E83" s="21" t="s">
        <v>99</v>
      </c>
      <c r="F83" s="18" t="s">
        <v>35</v>
      </c>
      <c r="G83" s="21" t="s">
        <v>85</v>
      </c>
      <c r="H83" s="22" t="s">
        <v>456</v>
      </c>
      <c r="I83" s="22" t="s">
        <v>457</v>
      </c>
      <c r="J83" s="22" t="s">
        <v>458</v>
      </c>
      <c r="K83" s="22"/>
      <c r="L83" s="22" t="s">
        <v>80</v>
      </c>
      <c r="M83" s="22"/>
      <c r="N83" s="20"/>
      <c r="O83" s="38"/>
    </row>
    <row r="84" spans="1:15" ht="48.75" customHeight="1">
      <c r="A84" s="18" t="s">
        <v>459</v>
      </c>
      <c r="B84" s="19" t="s">
        <v>27</v>
      </c>
      <c r="C84" s="19" t="s">
        <v>449</v>
      </c>
      <c r="D84" s="19" t="s">
        <v>450</v>
      </c>
      <c r="E84" s="18" t="s">
        <v>99</v>
      </c>
      <c r="F84" s="18" t="s">
        <v>33</v>
      </c>
      <c r="G84" s="18" t="s">
        <v>75</v>
      </c>
      <c r="H84" s="19" t="s">
        <v>460</v>
      </c>
      <c r="I84" s="19" t="s">
        <v>461</v>
      </c>
      <c r="J84" s="19" t="s">
        <v>462</v>
      </c>
      <c r="K84" s="19"/>
      <c r="L84" s="19" t="s">
        <v>80</v>
      </c>
      <c r="M84" s="19" t="s">
        <v>463</v>
      </c>
      <c r="N84" s="20"/>
      <c r="O84" s="37"/>
    </row>
    <row r="85" spans="1:15" ht="48.75" customHeight="1">
      <c r="A85" s="21" t="s">
        <v>464</v>
      </c>
      <c r="B85" s="22" t="s">
        <v>27</v>
      </c>
      <c r="C85" s="22" t="s">
        <v>449</v>
      </c>
      <c r="D85" s="22" t="s">
        <v>450</v>
      </c>
      <c r="E85" s="21" t="s">
        <v>99</v>
      </c>
      <c r="F85" s="18" t="s">
        <v>33</v>
      </c>
      <c r="G85" s="21" t="s">
        <v>75</v>
      </c>
      <c r="H85" s="22" t="s">
        <v>465</v>
      </c>
      <c r="I85" s="22" t="s">
        <v>466</v>
      </c>
      <c r="J85" s="22" t="s">
        <v>467</v>
      </c>
      <c r="K85" s="22"/>
      <c r="L85" s="22" t="s">
        <v>80</v>
      </c>
      <c r="M85" s="22"/>
      <c r="N85" s="20"/>
      <c r="O85" s="38"/>
    </row>
    <row r="86" spans="1:15" ht="48.75" customHeight="1">
      <c r="A86" s="18" t="s">
        <v>468</v>
      </c>
      <c r="B86" s="19" t="s">
        <v>27</v>
      </c>
      <c r="C86" s="19" t="s">
        <v>449</v>
      </c>
      <c r="D86" s="19" t="s">
        <v>450</v>
      </c>
      <c r="E86" s="18" t="s">
        <v>99</v>
      </c>
      <c r="F86" s="18" t="s">
        <v>33</v>
      </c>
      <c r="G86" s="18" t="s">
        <v>75</v>
      </c>
      <c r="H86" s="19" t="s">
        <v>469</v>
      </c>
      <c r="I86" s="19" t="s">
        <v>470</v>
      </c>
      <c r="J86" s="19" t="s">
        <v>471</v>
      </c>
      <c r="K86" s="19"/>
      <c r="L86" s="19" t="s">
        <v>80</v>
      </c>
      <c r="M86" s="19"/>
      <c r="N86" s="20"/>
      <c r="O86" s="37"/>
    </row>
    <row r="87" spans="1:15" ht="63.75" customHeight="1">
      <c r="A87" s="21" t="s">
        <v>472</v>
      </c>
      <c r="B87" s="22" t="s">
        <v>27</v>
      </c>
      <c r="C87" s="22" t="s">
        <v>449</v>
      </c>
      <c r="D87" s="22" t="s">
        <v>450</v>
      </c>
      <c r="E87" s="21" t="s">
        <v>99</v>
      </c>
      <c r="F87" s="18" t="s">
        <v>33</v>
      </c>
      <c r="G87" s="21" t="s">
        <v>75</v>
      </c>
      <c r="H87" s="22" t="s">
        <v>473</v>
      </c>
      <c r="I87" s="22" t="s">
        <v>474</v>
      </c>
      <c r="J87" s="22" t="s">
        <v>475</v>
      </c>
      <c r="K87" s="22"/>
      <c r="L87" s="22" t="s">
        <v>80</v>
      </c>
      <c r="M87" s="22"/>
      <c r="N87" s="20"/>
      <c r="O87" s="38"/>
    </row>
    <row r="88" spans="1:15" ht="63.75" customHeight="1">
      <c r="A88" s="18" t="s">
        <v>476</v>
      </c>
      <c r="B88" s="19" t="s">
        <v>27</v>
      </c>
      <c r="C88" s="19" t="s">
        <v>449</v>
      </c>
      <c r="D88" s="19" t="s">
        <v>450</v>
      </c>
      <c r="E88" s="18" t="s">
        <v>99</v>
      </c>
      <c r="F88" s="18" t="s">
        <v>33</v>
      </c>
      <c r="G88" s="18" t="s">
        <v>193</v>
      </c>
      <c r="H88" s="19" t="s">
        <v>477</v>
      </c>
      <c r="I88" s="19" t="s">
        <v>478</v>
      </c>
      <c r="J88" s="19" t="s">
        <v>479</v>
      </c>
      <c r="K88" s="19"/>
      <c r="L88" s="19" t="s">
        <v>80</v>
      </c>
      <c r="M88" s="19"/>
      <c r="N88" s="20"/>
      <c r="O88" s="37"/>
    </row>
    <row r="89" spans="1:15" ht="93.75" customHeight="1">
      <c r="A89" s="21" t="s">
        <v>480</v>
      </c>
      <c r="B89" s="22" t="s">
        <v>27</v>
      </c>
      <c r="C89" s="22" t="s">
        <v>449</v>
      </c>
      <c r="D89" s="22" t="s">
        <v>450</v>
      </c>
      <c r="E89" s="21" t="s">
        <v>99</v>
      </c>
      <c r="F89" s="18" t="s">
        <v>35</v>
      </c>
      <c r="G89" s="21" t="s">
        <v>75</v>
      </c>
      <c r="H89" s="22" t="s">
        <v>481</v>
      </c>
      <c r="I89" s="22" t="s">
        <v>482</v>
      </c>
      <c r="J89" s="22" t="s">
        <v>483</v>
      </c>
      <c r="K89" s="22"/>
      <c r="L89" s="22" t="s">
        <v>80</v>
      </c>
      <c r="M89" s="22"/>
      <c r="N89" s="20"/>
      <c r="O89" s="38"/>
    </row>
    <row r="90" spans="1:15" ht="48.75" customHeight="1">
      <c r="A90" s="18" t="s">
        <v>484</v>
      </c>
      <c r="B90" s="19" t="s">
        <v>27</v>
      </c>
      <c r="C90" s="19" t="s">
        <v>449</v>
      </c>
      <c r="D90" s="19" t="s">
        <v>450</v>
      </c>
      <c r="E90" s="18" t="s">
        <v>99</v>
      </c>
      <c r="F90" s="18" t="s">
        <v>37</v>
      </c>
      <c r="G90" s="18" t="s">
        <v>85</v>
      </c>
      <c r="H90" s="19" t="s">
        <v>485</v>
      </c>
      <c r="I90" s="19" t="s">
        <v>486</v>
      </c>
      <c r="J90" s="19" t="s">
        <v>487</v>
      </c>
      <c r="K90" s="19"/>
      <c r="L90" s="19" t="s">
        <v>80</v>
      </c>
      <c r="M90" s="19"/>
      <c r="N90" s="20"/>
      <c r="O90" s="37"/>
    </row>
    <row r="91" spans="1:15" ht="33.75" customHeight="1">
      <c r="A91" s="21" t="s">
        <v>488</v>
      </c>
      <c r="B91" s="22" t="s">
        <v>27</v>
      </c>
      <c r="C91" s="22" t="s">
        <v>449</v>
      </c>
      <c r="D91" s="22" t="s">
        <v>450</v>
      </c>
      <c r="E91" s="21" t="s">
        <v>99</v>
      </c>
      <c r="F91" s="18" t="s">
        <v>37</v>
      </c>
      <c r="G91" s="21" t="s">
        <v>92</v>
      </c>
      <c r="H91" s="22" t="s">
        <v>489</v>
      </c>
      <c r="I91" s="22" t="s">
        <v>490</v>
      </c>
      <c r="J91" s="22" t="s">
        <v>491</v>
      </c>
      <c r="K91" s="22"/>
      <c r="L91" s="22" t="s">
        <v>80</v>
      </c>
      <c r="M91" s="22"/>
      <c r="N91" s="20"/>
      <c r="O91" s="38"/>
    </row>
    <row r="92" spans="1:15" ht="33.75" customHeight="1">
      <c r="A92" s="18" t="s">
        <v>492</v>
      </c>
      <c r="B92" s="19" t="s">
        <v>27</v>
      </c>
      <c r="C92" s="19" t="s">
        <v>449</v>
      </c>
      <c r="D92" s="19" t="s">
        <v>450</v>
      </c>
      <c r="E92" s="18" t="s">
        <v>99</v>
      </c>
      <c r="F92" s="18" t="s">
        <v>37</v>
      </c>
      <c r="G92" s="18" t="s">
        <v>85</v>
      </c>
      <c r="H92" s="19" t="s">
        <v>493</v>
      </c>
      <c r="I92" s="19" t="s">
        <v>494</v>
      </c>
      <c r="J92" s="19" t="s">
        <v>495</v>
      </c>
      <c r="K92" s="19"/>
      <c r="L92" s="19" t="s">
        <v>80</v>
      </c>
      <c r="M92" s="19"/>
      <c r="N92" s="20"/>
      <c r="O92" s="37"/>
    </row>
    <row r="93" spans="1:15" ht="48.75" customHeight="1">
      <c r="A93" s="21" t="s">
        <v>496</v>
      </c>
      <c r="B93" s="22" t="s">
        <v>27</v>
      </c>
      <c r="C93" s="22" t="s">
        <v>449</v>
      </c>
      <c r="D93" s="22" t="s">
        <v>450</v>
      </c>
      <c r="E93" s="21" t="s">
        <v>99</v>
      </c>
      <c r="F93" s="18" t="s">
        <v>37</v>
      </c>
      <c r="G93" s="21" t="s">
        <v>92</v>
      </c>
      <c r="H93" s="22" t="s">
        <v>497</v>
      </c>
      <c r="I93" s="22" t="s">
        <v>498</v>
      </c>
      <c r="J93" s="22" t="s">
        <v>499</v>
      </c>
      <c r="K93" s="22"/>
      <c r="L93" s="22" t="s">
        <v>80</v>
      </c>
      <c r="M93" s="22"/>
      <c r="N93" s="20"/>
      <c r="O93" s="38"/>
    </row>
    <row r="94" spans="1:15" ht="48.75" customHeight="1">
      <c r="A94" s="18" t="s">
        <v>500</v>
      </c>
      <c r="B94" s="19" t="s">
        <v>27</v>
      </c>
      <c r="C94" s="19" t="s">
        <v>449</v>
      </c>
      <c r="D94" s="19" t="s">
        <v>450</v>
      </c>
      <c r="E94" s="18" t="s">
        <v>99</v>
      </c>
      <c r="F94" s="18" t="s">
        <v>35</v>
      </c>
      <c r="G94" s="18" t="s">
        <v>75</v>
      </c>
      <c r="H94" s="19" t="s">
        <v>501</v>
      </c>
      <c r="I94" s="19" t="s">
        <v>502</v>
      </c>
      <c r="J94" s="19" t="s">
        <v>503</v>
      </c>
      <c r="K94" s="19"/>
      <c r="L94" s="19" t="s">
        <v>80</v>
      </c>
      <c r="M94" s="19"/>
      <c r="N94" s="20"/>
      <c r="O94" s="37"/>
    </row>
    <row r="95" spans="1:15" ht="78.75" customHeight="1">
      <c r="A95" s="21" t="s">
        <v>504</v>
      </c>
      <c r="B95" s="22" t="s">
        <v>27</v>
      </c>
      <c r="C95" s="22" t="s">
        <v>449</v>
      </c>
      <c r="D95" s="22" t="s">
        <v>450</v>
      </c>
      <c r="E95" s="21" t="s">
        <v>99</v>
      </c>
      <c r="F95" s="18" t="s">
        <v>33</v>
      </c>
      <c r="G95" s="21" t="s">
        <v>193</v>
      </c>
      <c r="H95" s="22" t="s">
        <v>505</v>
      </c>
      <c r="I95" s="22" t="s">
        <v>506</v>
      </c>
      <c r="J95" s="22" t="s">
        <v>507</v>
      </c>
      <c r="K95" s="22"/>
      <c r="L95" s="22" t="s">
        <v>80</v>
      </c>
      <c r="M95" s="22"/>
      <c r="N95" s="20"/>
      <c r="O95" s="38"/>
    </row>
    <row r="96" spans="1:15" ht="48.75" customHeight="1">
      <c r="A96" s="18" t="s">
        <v>508</v>
      </c>
      <c r="B96" s="19" t="s">
        <v>27</v>
      </c>
      <c r="C96" s="19" t="s">
        <v>449</v>
      </c>
      <c r="D96" s="19" t="s">
        <v>450</v>
      </c>
      <c r="E96" s="18" t="s">
        <v>99</v>
      </c>
      <c r="F96" s="18" t="s">
        <v>37</v>
      </c>
      <c r="G96" s="18" t="s">
        <v>85</v>
      </c>
      <c r="H96" s="19" t="s">
        <v>509</v>
      </c>
      <c r="I96" s="19" t="s">
        <v>510</v>
      </c>
      <c r="J96" s="19" t="s">
        <v>511</v>
      </c>
      <c r="K96" s="19"/>
      <c r="L96" s="19" t="s">
        <v>80</v>
      </c>
      <c r="M96" s="19"/>
      <c r="N96" s="20"/>
      <c r="O96" s="37"/>
    </row>
    <row r="97" spans="1:15" ht="153.75" customHeight="1">
      <c r="A97" s="21" t="s">
        <v>512</v>
      </c>
      <c r="B97" s="22" t="s">
        <v>27</v>
      </c>
      <c r="C97" s="22" t="s">
        <v>513</v>
      </c>
      <c r="D97" s="22" t="s">
        <v>514</v>
      </c>
      <c r="E97" s="21" t="s">
        <v>388</v>
      </c>
      <c r="F97" s="18" t="s">
        <v>33</v>
      </c>
      <c r="G97" s="21" t="s">
        <v>75</v>
      </c>
      <c r="H97" s="22" t="s">
        <v>515</v>
      </c>
      <c r="I97" s="22" t="s">
        <v>516</v>
      </c>
      <c r="J97" s="22" t="s">
        <v>517</v>
      </c>
      <c r="K97" s="22"/>
      <c r="L97" s="22" t="s">
        <v>80</v>
      </c>
      <c r="M97" s="22" t="s">
        <v>518</v>
      </c>
      <c r="N97" s="20"/>
      <c r="O97" s="38"/>
    </row>
    <row r="98" spans="1:15" ht="63.75" customHeight="1">
      <c r="A98" s="18" t="s">
        <v>519</v>
      </c>
      <c r="B98" s="19" t="s">
        <v>27</v>
      </c>
      <c r="C98" s="19" t="s">
        <v>513</v>
      </c>
      <c r="D98" s="19" t="s">
        <v>514</v>
      </c>
      <c r="E98" s="18" t="s">
        <v>99</v>
      </c>
      <c r="F98" s="18" t="s">
        <v>37</v>
      </c>
      <c r="G98" s="18" t="s">
        <v>85</v>
      </c>
      <c r="H98" s="19" t="s">
        <v>520</v>
      </c>
      <c r="I98" s="19" t="s">
        <v>521</v>
      </c>
      <c r="J98" s="19" t="s">
        <v>522</v>
      </c>
      <c r="K98" s="19"/>
      <c r="L98" s="19" t="s">
        <v>80</v>
      </c>
      <c r="M98" s="19"/>
      <c r="N98" s="20"/>
      <c r="O98" s="37"/>
    </row>
    <row r="99" spans="1:15" ht="48.75" customHeight="1">
      <c r="A99" s="21" t="s">
        <v>523</v>
      </c>
      <c r="B99" s="22" t="s">
        <v>27</v>
      </c>
      <c r="C99" s="22" t="s">
        <v>513</v>
      </c>
      <c r="D99" s="22" t="s">
        <v>514</v>
      </c>
      <c r="E99" s="21" t="s">
        <v>99</v>
      </c>
      <c r="F99" s="18" t="s">
        <v>37</v>
      </c>
      <c r="G99" s="21" t="s">
        <v>85</v>
      </c>
      <c r="H99" s="22" t="s">
        <v>524</v>
      </c>
      <c r="I99" s="22" t="s">
        <v>525</v>
      </c>
      <c r="J99" s="22" t="s">
        <v>526</v>
      </c>
      <c r="K99" s="22"/>
      <c r="L99" s="22" t="s">
        <v>80</v>
      </c>
      <c r="M99" s="22"/>
      <c r="N99" s="20"/>
      <c r="O99" s="38"/>
    </row>
    <row r="100" spans="1:15" ht="93.75" customHeight="1">
      <c r="A100" s="18" t="s">
        <v>527</v>
      </c>
      <c r="B100" s="19" t="s">
        <v>27</v>
      </c>
      <c r="C100" s="19" t="s">
        <v>513</v>
      </c>
      <c r="D100" s="19" t="s">
        <v>514</v>
      </c>
      <c r="E100" s="18" t="s">
        <v>99</v>
      </c>
      <c r="F100" s="18" t="s">
        <v>33</v>
      </c>
      <c r="G100" s="18" t="s">
        <v>75</v>
      </c>
      <c r="H100" s="19" t="s">
        <v>528</v>
      </c>
      <c r="I100" s="19" t="s">
        <v>529</v>
      </c>
      <c r="J100" s="19" t="s">
        <v>530</v>
      </c>
      <c r="K100" s="19"/>
      <c r="L100" s="19" t="s">
        <v>80</v>
      </c>
      <c r="M100" s="19"/>
      <c r="N100" s="20"/>
      <c r="O100" s="37"/>
    </row>
    <row r="101" spans="1:15" ht="78.75" customHeight="1">
      <c r="A101" s="21" t="s">
        <v>531</v>
      </c>
      <c r="B101" s="22" t="s">
        <v>27</v>
      </c>
      <c r="C101" s="22" t="s">
        <v>513</v>
      </c>
      <c r="D101" s="22" t="s">
        <v>514</v>
      </c>
      <c r="E101" s="21" t="s">
        <v>99</v>
      </c>
      <c r="F101" s="18" t="s">
        <v>37</v>
      </c>
      <c r="G101" s="21" t="s">
        <v>85</v>
      </c>
      <c r="H101" s="22" t="s">
        <v>532</v>
      </c>
      <c r="I101" s="22" t="s">
        <v>533</v>
      </c>
      <c r="J101" s="22" t="s">
        <v>534</v>
      </c>
      <c r="K101" s="22"/>
      <c r="L101" s="22" t="s">
        <v>80</v>
      </c>
      <c r="M101" s="22"/>
      <c r="N101" s="20"/>
      <c r="O101" s="38"/>
    </row>
    <row r="102" spans="1:15" ht="48.75" customHeight="1">
      <c r="A102" s="18" t="s">
        <v>535</v>
      </c>
      <c r="B102" s="19" t="s">
        <v>27</v>
      </c>
      <c r="C102" s="19" t="s">
        <v>513</v>
      </c>
      <c r="D102" s="19" t="s">
        <v>514</v>
      </c>
      <c r="E102" s="18" t="s">
        <v>99</v>
      </c>
      <c r="F102" s="18" t="s">
        <v>37</v>
      </c>
      <c r="G102" s="18" t="s">
        <v>75</v>
      </c>
      <c r="H102" s="19" t="s">
        <v>536</v>
      </c>
      <c r="I102" s="19" t="s">
        <v>537</v>
      </c>
      <c r="J102" s="19" t="s">
        <v>538</v>
      </c>
      <c r="K102" s="19"/>
      <c r="L102" s="19" t="s">
        <v>80</v>
      </c>
      <c r="M102" s="19"/>
      <c r="N102" s="20"/>
      <c r="O102" s="37"/>
    </row>
    <row r="103" spans="1:15" ht="108.75" customHeight="1">
      <c r="A103" s="21" t="s">
        <v>539</v>
      </c>
      <c r="B103" s="22" t="s">
        <v>27</v>
      </c>
      <c r="C103" s="22" t="s">
        <v>513</v>
      </c>
      <c r="D103" s="22" t="s">
        <v>514</v>
      </c>
      <c r="E103" s="21" t="s">
        <v>99</v>
      </c>
      <c r="F103" s="18" t="s">
        <v>33</v>
      </c>
      <c r="G103" s="21" t="s">
        <v>193</v>
      </c>
      <c r="H103" s="22" t="s">
        <v>540</v>
      </c>
      <c r="I103" s="22" t="s">
        <v>541</v>
      </c>
      <c r="J103" s="22" t="s">
        <v>542</v>
      </c>
      <c r="K103" s="22"/>
      <c r="L103" s="22" t="s">
        <v>80</v>
      </c>
      <c r="M103" s="22"/>
      <c r="N103" s="20"/>
      <c r="O103" s="38"/>
    </row>
    <row r="104" spans="1:15" ht="78.75" customHeight="1">
      <c r="A104" s="18" t="s">
        <v>543</v>
      </c>
      <c r="B104" s="19" t="s">
        <v>27</v>
      </c>
      <c r="C104" s="19" t="s">
        <v>513</v>
      </c>
      <c r="D104" s="19" t="s">
        <v>514</v>
      </c>
      <c r="E104" s="18" t="s">
        <v>99</v>
      </c>
      <c r="F104" s="18" t="s">
        <v>33</v>
      </c>
      <c r="G104" s="18" t="s">
        <v>193</v>
      </c>
      <c r="H104" s="19" t="s">
        <v>544</v>
      </c>
      <c r="I104" s="19" t="s">
        <v>545</v>
      </c>
      <c r="J104" s="19" t="s">
        <v>546</v>
      </c>
      <c r="K104" s="19"/>
      <c r="L104" s="19" t="s">
        <v>80</v>
      </c>
      <c r="M104" s="19"/>
      <c r="N104" s="20"/>
      <c r="O104" s="37"/>
    </row>
    <row r="105" spans="1:15" ht="48.75" customHeight="1">
      <c r="A105" s="21" t="s">
        <v>547</v>
      </c>
      <c r="B105" s="22" t="s">
        <v>27</v>
      </c>
      <c r="C105" s="22" t="s">
        <v>513</v>
      </c>
      <c r="D105" s="22" t="s">
        <v>514</v>
      </c>
      <c r="E105" s="21" t="s">
        <v>99</v>
      </c>
      <c r="F105" s="18" t="s">
        <v>35</v>
      </c>
      <c r="G105" s="21" t="s">
        <v>75</v>
      </c>
      <c r="H105" s="22" t="s">
        <v>548</v>
      </c>
      <c r="I105" s="22" t="s">
        <v>549</v>
      </c>
      <c r="J105" s="22" t="s">
        <v>550</v>
      </c>
      <c r="K105" s="22"/>
      <c r="L105" s="22" t="s">
        <v>80</v>
      </c>
      <c r="M105" s="22"/>
      <c r="N105" s="20"/>
      <c r="O105" s="38"/>
    </row>
    <row r="106" spans="1:15" ht="48.75" customHeight="1">
      <c r="A106" s="18" t="s">
        <v>551</v>
      </c>
      <c r="B106" s="19" t="s">
        <v>27</v>
      </c>
      <c r="C106" s="19" t="s">
        <v>513</v>
      </c>
      <c r="D106" s="19" t="s">
        <v>514</v>
      </c>
      <c r="E106" s="18" t="s">
        <v>99</v>
      </c>
      <c r="F106" s="18" t="s">
        <v>37</v>
      </c>
      <c r="G106" s="18" t="s">
        <v>75</v>
      </c>
      <c r="H106" s="19" t="s">
        <v>552</v>
      </c>
      <c r="I106" s="19" t="s">
        <v>553</v>
      </c>
      <c r="J106" s="19" t="s">
        <v>554</v>
      </c>
      <c r="K106" s="19"/>
      <c r="L106" s="19" t="s">
        <v>80</v>
      </c>
      <c r="M106" s="19"/>
      <c r="N106" s="20"/>
      <c r="O106" s="37"/>
    </row>
    <row r="107" spans="1:15" ht="63.75" customHeight="1">
      <c r="A107" s="21" t="s">
        <v>555</v>
      </c>
      <c r="B107" s="22" t="s">
        <v>27</v>
      </c>
      <c r="C107" s="22" t="s">
        <v>513</v>
      </c>
      <c r="D107" s="22" t="s">
        <v>514</v>
      </c>
      <c r="E107" s="21" t="s">
        <v>99</v>
      </c>
      <c r="F107" s="18" t="s">
        <v>35</v>
      </c>
      <c r="G107" s="21" t="s">
        <v>75</v>
      </c>
      <c r="H107" s="22" t="s">
        <v>556</v>
      </c>
      <c r="I107" s="22" t="s">
        <v>557</v>
      </c>
      <c r="J107" s="22" t="s">
        <v>558</v>
      </c>
      <c r="K107" s="22"/>
      <c r="L107" s="22" t="s">
        <v>80</v>
      </c>
      <c r="M107" s="22"/>
      <c r="N107" s="20"/>
      <c r="O107" s="38"/>
    </row>
    <row r="108" spans="1:15" ht="48.75" customHeight="1">
      <c r="A108" s="18" t="s">
        <v>559</v>
      </c>
      <c r="B108" s="19" t="s">
        <v>27</v>
      </c>
      <c r="C108" s="19" t="s">
        <v>513</v>
      </c>
      <c r="D108" s="19" t="s">
        <v>514</v>
      </c>
      <c r="E108" s="18" t="s">
        <v>99</v>
      </c>
      <c r="F108" s="18" t="s">
        <v>37</v>
      </c>
      <c r="G108" s="18" t="s">
        <v>85</v>
      </c>
      <c r="H108" s="19" t="s">
        <v>560</v>
      </c>
      <c r="I108" s="19" t="s">
        <v>561</v>
      </c>
      <c r="J108" s="19" t="s">
        <v>562</v>
      </c>
      <c r="K108" s="19"/>
      <c r="L108" s="19" t="s">
        <v>80</v>
      </c>
      <c r="M108" s="19"/>
      <c r="N108" s="20"/>
      <c r="O108" s="37"/>
    </row>
    <row r="109" spans="1:15" ht="78.75" customHeight="1">
      <c r="A109" s="21" t="s">
        <v>563</v>
      </c>
      <c r="B109" s="22" t="s">
        <v>27</v>
      </c>
      <c r="C109" s="22" t="s">
        <v>513</v>
      </c>
      <c r="D109" s="22" t="s">
        <v>514</v>
      </c>
      <c r="E109" s="21" t="s">
        <v>99</v>
      </c>
      <c r="F109" s="18" t="s">
        <v>37</v>
      </c>
      <c r="G109" s="21" t="s">
        <v>75</v>
      </c>
      <c r="H109" s="22" t="s">
        <v>564</v>
      </c>
      <c r="I109" s="22" t="s">
        <v>565</v>
      </c>
      <c r="J109" s="22" t="s">
        <v>566</v>
      </c>
      <c r="K109" s="22"/>
      <c r="L109" s="22" t="s">
        <v>80</v>
      </c>
      <c r="M109" s="22"/>
      <c r="N109" s="20"/>
      <c r="O109" s="38"/>
    </row>
    <row r="110" spans="1:15" ht="48.75" customHeight="1">
      <c r="A110" s="18" t="s">
        <v>567</v>
      </c>
      <c r="B110" s="19" t="s">
        <v>27</v>
      </c>
      <c r="C110" s="19" t="s">
        <v>513</v>
      </c>
      <c r="D110" s="19" t="s">
        <v>514</v>
      </c>
      <c r="E110" s="18" t="s">
        <v>99</v>
      </c>
      <c r="F110" s="18" t="s">
        <v>35</v>
      </c>
      <c r="G110" s="18" t="s">
        <v>75</v>
      </c>
      <c r="H110" s="19" t="s">
        <v>568</v>
      </c>
      <c r="I110" s="19" t="s">
        <v>569</v>
      </c>
      <c r="J110" s="19" t="s">
        <v>570</v>
      </c>
      <c r="K110" s="19"/>
      <c r="L110" s="19" t="s">
        <v>80</v>
      </c>
      <c r="M110" s="19"/>
      <c r="N110" s="20"/>
      <c r="O110" s="37"/>
    </row>
    <row r="111" spans="1:15" ht="93.75" customHeight="1">
      <c r="A111" s="21" t="s">
        <v>571</v>
      </c>
      <c r="B111" s="22" t="s">
        <v>27</v>
      </c>
      <c r="C111" s="22" t="s">
        <v>513</v>
      </c>
      <c r="D111" s="22" t="s">
        <v>514</v>
      </c>
      <c r="E111" s="21" t="s">
        <v>99</v>
      </c>
      <c r="F111" s="18" t="s">
        <v>35</v>
      </c>
      <c r="G111" s="21" t="s">
        <v>75</v>
      </c>
      <c r="H111" s="22" t="s">
        <v>572</v>
      </c>
      <c r="I111" s="22" t="s">
        <v>573</v>
      </c>
      <c r="J111" s="22" t="s">
        <v>574</v>
      </c>
      <c r="K111" s="22"/>
      <c r="L111" s="22" t="s">
        <v>80</v>
      </c>
      <c r="M111" s="22" t="s">
        <v>575</v>
      </c>
      <c r="N111" s="20"/>
      <c r="O111" s="38"/>
    </row>
    <row r="112" spans="1:15" ht="243.75" customHeight="1">
      <c r="A112" s="18" t="s">
        <v>576</v>
      </c>
      <c r="B112" s="19" t="s">
        <v>29</v>
      </c>
      <c r="C112" s="19" t="s">
        <v>577</v>
      </c>
      <c r="D112" s="19" t="s">
        <v>578</v>
      </c>
      <c r="E112" s="18" t="s">
        <v>388</v>
      </c>
      <c r="F112" s="18" t="s">
        <v>33</v>
      </c>
      <c r="G112" s="18" t="s">
        <v>193</v>
      </c>
      <c r="H112" s="19" t="s">
        <v>579</v>
      </c>
      <c r="I112" s="19" t="s">
        <v>580</v>
      </c>
      <c r="J112" s="19" t="s">
        <v>581</v>
      </c>
      <c r="K112" s="19"/>
      <c r="L112" s="19" t="s">
        <v>80</v>
      </c>
      <c r="M112" s="19" t="s">
        <v>582</v>
      </c>
      <c r="N112" s="20"/>
      <c r="O112" s="37"/>
    </row>
    <row r="113" spans="1:15" ht="63.75" customHeight="1">
      <c r="A113" s="21" t="s">
        <v>583</v>
      </c>
      <c r="B113" s="22" t="s">
        <v>29</v>
      </c>
      <c r="C113" s="22" t="s">
        <v>577</v>
      </c>
      <c r="D113" s="22" t="s">
        <v>578</v>
      </c>
      <c r="E113" s="21" t="s">
        <v>99</v>
      </c>
      <c r="F113" s="18" t="s">
        <v>33</v>
      </c>
      <c r="G113" s="21" t="s">
        <v>193</v>
      </c>
      <c r="H113" s="22" t="s">
        <v>584</v>
      </c>
      <c r="I113" s="22" t="s">
        <v>585</v>
      </c>
      <c r="J113" s="22" t="s">
        <v>586</v>
      </c>
      <c r="K113" s="22"/>
      <c r="L113" s="22" t="s">
        <v>80</v>
      </c>
      <c r="M113" s="22"/>
      <c r="N113" s="20"/>
      <c r="O113" s="38"/>
    </row>
    <row r="114" spans="1:15" ht="48.75" customHeight="1">
      <c r="A114" s="18" t="s">
        <v>587</v>
      </c>
      <c r="B114" s="19" t="s">
        <v>29</v>
      </c>
      <c r="C114" s="19" t="s">
        <v>577</v>
      </c>
      <c r="D114" s="19" t="s">
        <v>578</v>
      </c>
      <c r="E114" s="18" t="s">
        <v>99</v>
      </c>
      <c r="F114" s="18" t="s">
        <v>35</v>
      </c>
      <c r="G114" s="18" t="s">
        <v>75</v>
      </c>
      <c r="H114" s="19" t="s">
        <v>588</v>
      </c>
      <c r="I114" s="19" t="s">
        <v>589</v>
      </c>
      <c r="J114" s="19" t="s">
        <v>590</v>
      </c>
      <c r="K114" s="19"/>
      <c r="L114" s="19" t="s">
        <v>80</v>
      </c>
      <c r="M114" s="19"/>
      <c r="N114" s="20"/>
      <c r="O114" s="37"/>
    </row>
    <row r="115" spans="1:15" ht="48.75" customHeight="1">
      <c r="A115" s="21" t="s">
        <v>591</v>
      </c>
      <c r="B115" s="22" t="s">
        <v>29</v>
      </c>
      <c r="C115" s="22" t="s">
        <v>577</v>
      </c>
      <c r="D115" s="22" t="s">
        <v>578</v>
      </c>
      <c r="E115" s="21" t="s">
        <v>99</v>
      </c>
      <c r="F115" s="18" t="s">
        <v>33</v>
      </c>
      <c r="G115" s="21" t="s">
        <v>193</v>
      </c>
      <c r="H115" s="22" t="s">
        <v>592</v>
      </c>
      <c r="I115" s="22" t="s">
        <v>593</v>
      </c>
      <c r="J115" s="22" t="s">
        <v>594</v>
      </c>
      <c r="K115" s="22"/>
      <c r="L115" s="22" t="s">
        <v>80</v>
      </c>
      <c r="M115" s="22"/>
      <c r="N115" s="20"/>
      <c r="O115" s="38"/>
    </row>
    <row r="116" spans="1:15" ht="48.75" customHeight="1">
      <c r="A116" s="18" t="s">
        <v>595</v>
      </c>
      <c r="B116" s="19" t="s">
        <v>29</v>
      </c>
      <c r="C116" s="19" t="s">
        <v>577</v>
      </c>
      <c r="D116" s="19" t="s">
        <v>578</v>
      </c>
      <c r="E116" s="18" t="s">
        <v>99</v>
      </c>
      <c r="F116" s="18" t="s">
        <v>33</v>
      </c>
      <c r="G116" s="18" t="s">
        <v>75</v>
      </c>
      <c r="H116" s="19" t="s">
        <v>596</v>
      </c>
      <c r="I116" s="19" t="s">
        <v>597</v>
      </c>
      <c r="J116" s="19" t="s">
        <v>598</v>
      </c>
      <c r="K116" s="19"/>
      <c r="L116" s="19" t="s">
        <v>80</v>
      </c>
      <c r="M116" s="19"/>
      <c r="N116" s="20"/>
      <c r="O116" s="37"/>
    </row>
    <row r="117" spans="1:15" ht="48.75" customHeight="1">
      <c r="A117" s="21" t="s">
        <v>599</v>
      </c>
      <c r="B117" s="22" t="s">
        <v>29</v>
      </c>
      <c r="C117" s="22" t="s">
        <v>577</v>
      </c>
      <c r="D117" s="22" t="s">
        <v>578</v>
      </c>
      <c r="E117" s="21" t="s">
        <v>99</v>
      </c>
      <c r="F117" s="18" t="s">
        <v>37</v>
      </c>
      <c r="G117" s="21" t="s">
        <v>75</v>
      </c>
      <c r="H117" s="22" t="s">
        <v>600</v>
      </c>
      <c r="I117" s="22" t="s">
        <v>601</v>
      </c>
      <c r="J117" s="22" t="s">
        <v>602</v>
      </c>
      <c r="K117" s="22"/>
      <c r="L117" s="22" t="s">
        <v>80</v>
      </c>
      <c r="M117" s="22"/>
      <c r="N117" s="20"/>
      <c r="O117" s="38"/>
    </row>
    <row r="118" spans="1:15" ht="63.75" customHeight="1">
      <c r="A118" s="18" t="s">
        <v>603</v>
      </c>
      <c r="B118" s="19" t="s">
        <v>29</v>
      </c>
      <c r="C118" s="19" t="s">
        <v>577</v>
      </c>
      <c r="D118" s="19" t="s">
        <v>578</v>
      </c>
      <c r="E118" s="18" t="s">
        <v>99</v>
      </c>
      <c r="F118" s="18" t="s">
        <v>33</v>
      </c>
      <c r="G118" s="18" t="s">
        <v>193</v>
      </c>
      <c r="H118" s="19" t="s">
        <v>604</v>
      </c>
      <c r="I118" s="19" t="s">
        <v>605</v>
      </c>
      <c r="J118" s="19" t="s">
        <v>606</v>
      </c>
      <c r="K118" s="19"/>
      <c r="L118" s="19" t="s">
        <v>80</v>
      </c>
      <c r="M118" s="19"/>
      <c r="N118" s="20"/>
      <c r="O118" s="37"/>
    </row>
    <row r="119" spans="1:15" ht="48.75" customHeight="1">
      <c r="A119" s="21" t="s">
        <v>607</v>
      </c>
      <c r="B119" s="22" t="s">
        <v>29</v>
      </c>
      <c r="C119" s="22" t="s">
        <v>577</v>
      </c>
      <c r="D119" s="22" t="s">
        <v>578</v>
      </c>
      <c r="E119" s="21" t="s">
        <v>99</v>
      </c>
      <c r="F119" s="18" t="s">
        <v>35</v>
      </c>
      <c r="G119" s="21" t="s">
        <v>75</v>
      </c>
      <c r="H119" s="22" t="s">
        <v>608</v>
      </c>
      <c r="I119" s="22" t="s">
        <v>609</v>
      </c>
      <c r="J119" s="22" t="s">
        <v>610</v>
      </c>
      <c r="K119" s="22"/>
      <c r="L119" s="22" t="s">
        <v>80</v>
      </c>
      <c r="M119" s="22"/>
      <c r="N119" s="20"/>
      <c r="O119" s="38"/>
    </row>
    <row r="120" spans="1:15" ht="33.75" customHeight="1">
      <c r="A120" s="18" t="s">
        <v>611</v>
      </c>
      <c r="B120" s="19" t="s">
        <v>29</v>
      </c>
      <c r="C120" s="19" t="s">
        <v>577</v>
      </c>
      <c r="D120" s="19" t="s">
        <v>578</v>
      </c>
      <c r="E120" s="18" t="s">
        <v>99</v>
      </c>
      <c r="F120" s="18" t="s">
        <v>37</v>
      </c>
      <c r="G120" s="18" t="s">
        <v>85</v>
      </c>
      <c r="H120" s="19" t="s">
        <v>612</v>
      </c>
      <c r="I120" s="19" t="s">
        <v>613</v>
      </c>
      <c r="J120" s="19" t="s">
        <v>614</v>
      </c>
      <c r="K120" s="19"/>
      <c r="L120" s="19" t="s">
        <v>80</v>
      </c>
      <c r="M120" s="19"/>
      <c r="N120" s="20"/>
      <c r="O120" s="37"/>
    </row>
    <row r="121" spans="1:15" ht="48.75" customHeight="1">
      <c r="A121" s="21" t="s">
        <v>615</v>
      </c>
      <c r="B121" s="22" t="s">
        <v>29</v>
      </c>
      <c r="C121" s="22" t="s">
        <v>577</v>
      </c>
      <c r="D121" s="22" t="s">
        <v>578</v>
      </c>
      <c r="E121" s="21" t="s">
        <v>99</v>
      </c>
      <c r="F121" s="18" t="s">
        <v>37</v>
      </c>
      <c r="G121" s="21" t="s">
        <v>75</v>
      </c>
      <c r="H121" s="22" t="s">
        <v>616</v>
      </c>
      <c r="I121" s="22" t="s">
        <v>617</v>
      </c>
      <c r="J121" s="22" t="s">
        <v>618</v>
      </c>
      <c r="K121" s="22"/>
      <c r="L121" s="22" t="s">
        <v>80</v>
      </c>
      <c r="M121" s="22"/>
      <c r="N121" s="20"/>
      <c r="O121" s="38"/>
    </row>
    <row r="122" spans="1:15" ht="48.75" customHeight="1">
      <c r="A122" s="18" t="s">
        <v>619</v>
      </c>
      <c r="B122" s="19" t="s">
        <v>29</v>
      </c>
      <c r="C122" s="19" t="s">
        <v>577</v>
      </c>
      <c r="D122" s="19" t="s">
        <v>578</v>
      </c>
      <c r="E122" s="18" t="s">
        <v>99</v>
      </c>
      <c r="F122" s="18" t="s">
        <v>37</v>
      </c>
      <c r="G122" s="18" t="s">
        <v>92</v>
      </c>
      <c r="H122" s="19" t="s">
        <v>620</v>
      </c>
      <c r="I122" s="19" t="s">
        <v>621</v>
      </c>
      <c r="J122" s="19" t="s">
        <v>622</v>
      </c>
      <c r="K122" s="19"/>
      <c r="L122" s="19" t="s">
        <v>80</v>
      </c>
      <c r="M122" s="19"/>
      <c r="N122" s="20"/>
      <c r="O122" s="37"/>
    </row>
    <row r="123" spans="1:15" ht="63.75" customHeight="1">
      <c r="A123" s="21" t="s">
        <v>623</v>
      </c>
      <c r="B123" s="22" t="s">
        <v>29</v>
      </c>
      <c r="C123" s="22" t="s">
        <v>577</v>
      </c>
      <c r="D123" s="22" t="s">
        <v>578</v>
      </c>
      <c r="E123" s="21" t="s">
        <v>99</v>
      </c>
      <c r="F123" s="18" t="s">
        <v>39</v>
      </c>
      <c r="G123" s="21" t="s">
        <v>85</v>
      </c>
      <c r="H123" s="22" t="s">
        <v>624</v>
      </c>
      <c r="I123" s="22" t="s">
        <v>625</v>
      </c>
      <c r="J123" s="22" t="s">
        <v>626</v>
      </c>
      <c r="K123" s="22"/>
      <c r="L123" s="22" t="s">
        <v>80</v>
      </c>
      <c r="M123" s="22"/>
      <c r="N123" s="20"/>
      <c r="O123" s="38"/>
    </row>
    <row r="124" spans="1:15" ht="48.75" customHeight="1">
      <c r="A124" s="18" t="s">
        <v>627</v>
      </c>
      <c r="B124" s="19" t="s">
        <v>29</v>
      </c>
      <c r="C124" s="19" t="s">
        <v>577</v>
      </c>
      <c r="D124" s="19" t="s">
        <v>578</v>
      </c>
      <c r="E124" s="18" t="s">
        <v>99</v>
      </c>
      <c r="F124" s="18" t="s">
        <v>37</v>
      </c>
      <c r="G124" s="18" t="s">
        <v>92</v>
      </c>
      <c r="H124" s="19" t="s">
        <v>628</v>
      </c>
      <c r="I124" s="19" t="s">
        <v>629</v>
      </c>
      <c r="J124" s="19" t="s">
        <v>630</v>
      </c>
      <c r="K124" s="19"/>
      <c r="L124" s="19" t="s">
        <v>80</v>
      </c>
      <c r="M124" s="19"/>
      <c r="N124" s="20"/>
      <c r="O124" s="37"/>
    </row>
    <row r="125" spans="1:15" ht="48.75" customHeight="1">
      <c r="A125" s="21" t="s">
        <v>631</v>
      </c>
      <c r="B125" s="22" t="s">
        <v>29</v>
      </c>
      <c r="C125" s="22" t="s">
        <v>577</v>
      </c>
      <c r="D125" s="22" t="s">
        <v>578</v>
      </c>
      <c r="E125" s="21" t="s">
        <v>74</v>
      </c>
      <c r="F125" s="18" t="s">
        <v>37</v>
      </c>
      <c r="G125" s="21" t="s">
        <v>75</v>
      </c>
      <c r="H125" s="22" t="s">
        <v>632</v>
      </c>
      <c r="I125" s="22" t="s">
        <v>633</v>
      </c>
      <c r="J125" s="22" t="s">
        <v>634</v>
      </c>
      <c r="K125" s="22"/>
      <c r="L125" s="22" t="s">
        <v>80</v>
      </c>
      <c r="M125" s="22"/>
      <c r="N125" s="20"/>
      <c r="O125" s="38"/>
    </row>
    <row r="126" spans="1:15" ht="138.75" customHeight="1">
      <c r="A126" s="18" t="s">
        <v>635</v>
      </c>
      <c r="B126" s="19" t="s">
        <v>29</v>
      </c>
      <c r="C126" s="19" t="s">
        <v>577</v>
      </c>
      <c r="D126" s="19" t="s">
        <v>578</v>
      </c>
      <c r="E126" s="18" t="s">
        <v>99</v>
      </c>
      <c r="F126" s="18" t="s">
        <v>35</v>
      </c>
      <c r="G126" s="18" t="s">
        <v>193</v>
      </c>
      <c r="H126" s="19" t="s">
        <v>636</v>
      </c>
      <c r="I126" s="19" t="s">
        <v>637</v>
      </c>
      <c r="J126" s="19" t="s">
        <v>638</v>
      </c>
      <c r="K126" s="19"/>
      <c r="L126" s="19" t="s">
        <v>80</v>
      </c>
      <c r="M126" s="19"/>
      <c r="N126" s="20"/>
      <c r="O126" s="37"/>
    </row>
    <row r="127" spans="1:15" ht="198.75" customHeight="1">
      <c r="A127" s="21" t="s">
        <v>639</v>
      </c>
      <c r="B127" s="22" t="s">
        <v>31</v>
      </c>
      <c r="C127" s="22" t="s">
        <v>640</v>
      </c>
      <c r="D127" s="22" t="s">
        <v>641</v>
      </c>
      <c r="E127" s="21" t="s">
        <v>74</v>
      </c>
      <c r="F127" s="18" t="s">
        <v>33</v>
      </c>
      <c r="G127" s="21" t="s">
        <v>75</v>
      </c>
      <c r="H127" s="22" t="s">
        <v>642</v>
      </c>
      <c r="I127" s="22" t="s">
        <v>643</v>
      </c>
      <c r="J127" s="22" t="s">
        <v>644</v>
      </c>
      <c r="K127" s="22"/>
      <c r="L127" s="22" t="s">
        <v>80</v>
      </c>
      <c r="M127" s="22" t="s">
        <v>645</v>
      </c>
      <c r="N127" s="20"/>
      <c r="O127" s="38"/>
    </row>
    <row r="128" spans="1:15" ht="93.75" customHeight="1">
      <c r="A128" s="18" t="s">
        <v>646</v>
      </c>
      <c r="B128" s="19" t="s">
        <v>31</v>
      </c>
      <c r="C128" s="19" t="s">
        <v>640</v>
      </c>
      <c r="D128" s="19" t="s">
        <v>641</v>
      </c>
      <c r="E128" s="18" t="s">
        <v>647</v>
      </c>
      <c r="F128" s="18" t="s">
        <v>33</v>
      </c>
      <c r="G128" s="18" t="s">
        <v>193</v>
      </c>
      <c r="H128" s="19" t="s">
        <v>648</v>
      </c>
      <c r="I128" s="19" t="s">
        <v>649</v>
      </c>
      <c r="J128" s="19" t="s">
        <v>650</v>
      </c>
      <c r="K128" s="19"/>
      <c r="L128" s="19" t="s">
        <v>80</v>
      </c>
      <c r="M128" s="19"/>
      <c r="N128" s="20"/>
      <c r="O128" s="37"/>
    </row>
    <row r="129" spans="1:15" ht="48.75" customHeight="1">
      <c r="A129" s="21" t="s">
        <v>651</v>
      </c>
      <c r="B129" s="22" t="s">
        <v>31</v>
      </c>
      <c r="C129" s="22" t="s">
        <v>640</v>
      </c>
      <c r="D129" s="22" t="s">
        <v>641</v>
      </c>
      <c r="E129" s="21" t="s">
        <v>99</v>
      </c>
      <c r="F129" s="18" t="s">
        <v>35</v>
      </c>
      <c r="G129" s="21" t="s">
        <v>75</v>
      </c>
      <c r="H129" s="22" t="s">
        <v>652</v>
      </c>
      <c r="I129" s="22" t="s">
        <v>653</v>
      </c>
      <c r="J129" s="22" t="s">
        <v>654</v>
      </c>
      <c r="K129" s="22"/>
      <c r="L129" s="22" t="s">
        <v>80</v>
      </c>
      <c r="M129" s="22"/>
      <c r="N129" s="20"/>
      <c r="O129" s="38"/>
    </row>
    <row r="130" spans="1:15" ht="63.75" customHeight="1">
      <c r="A130" s="18" t="s">
        <v>655</v>
      </c>
      <c r="B130" s="19" t="s">
        <v>31</v>
      </c>
      <c r="C130" s="19" t="s">
        <v>640</v>
      </c>
      <c r="D130" s="19" t="s">
        <v>641</v>
      </c>
      <c r="E130" s="18" t="s">
        <v>99</v>
      </c>
      <c r="F130" s="18" t="s">
        <v>35</v>
      </c>
      <c r="G130" s="18" t="s">
        <v>75</v>
      </c>
      <c r="H130" s="19" t="s">
        <v>656</v>
      </c>
      <c r="I130" s="19" t="s">
        <v>657</v>
      </c>
      <c r="J130" s="19" t="s">
        <v>658</v>
      </c>
      <c r="K130" s="19"/>
      <c r="L130" s="19" t="s">
        <v>80</v>
      </c>
      <c r="M130" s="19"/>
      <c r="N130" s="20"/>
      <c r="O130" s="37"/>
    </row>
    <row r="131" spans="1:15" ht="63.75" customHeight="1">
      <c r="A131" s="21" t="s">
        <v>659</v>
      </c>
      <c r="B131" s="22" t="s">
        <v>31</v>
      </c>
      <c r="C131" s="22" t="s">
        <v>640</v>
      </c>
      <c r="D131" s="22" t="s">
        <v>641</v>
      </c>
      <c r="E131" s="21" t="s">
        <v>99</v>
      </c>
      <c r="F131" s="18" t="s">
        <v>35</v>
      </c>
      <c r="G131" s="21" t="s">
        <v>75</v>
      </c>
      <c r="H131" s="22" t="s">
        <v>660</v>
      </c>
      <c r="I131" s="22" t="s">
        <v>661</v>
      </c>
      <c r="J131" s="22" t="s">
        <v>662</v>
      </c>
      <c r="K131" s="22"/>
      <c r="L131" s="22" t="s">
        <v>80</v>
      </c>
      <c r="M131" s="22"/>
      <c r="N131" s="20"/>
      <c r="O131" s="38"/>
    </row>
    <row r="132" spans="1:15" ht="63.75" customHeight="1">
      <c r="A132" s="18" t="s">
        <v>663</v>
      </c>
      <c r="B132" s="19" t="s">
        <v>31</v>
      </c>
      <c r="C132" s="19" t="s">
        <v>640</v>
      </c>
      <c r="D132" s="19" t="s">
        <v>641</v>
      </c>
      <c r="E132" s="18" t="s">
        <v>99</v>
      </c>
      <c r="F132" s="18" t="s">
        <v>33</v>
      </c>
      <c r="G132" s="18" t="s">
        <v>75</v>
      </c>
      <c r="H132" s="19" t="s">
        <v>664</v>
      </c>
      <c r="I132" s="19" t="s">
        <v>665</v>
      </c>
      <c r="J132" s="19" t="s">
        <v>666</v>
      </c>
      <c r="K132" s="19"/>
      <c r="L132" s="19" t="s">
        <v>80</v>
      </c>
      <c r="M132" s="19"/>
      <c r="N132" s="20"/>
      <c r="O132" s="37"/>
    </row>
    <row r="133" spans="1:15" ht="63.75" customHeight="1">
      <c r="A133" s="21" t="s">
        <v>667</v>
      </c>
      <c r="B133" s="22" t="s">
        <v>31</v>
      </c>
      <c r="C133" s="22" t="s">
        <v>640</v>
      </c>
      <c r="D133" s="22" t="s">
        <v>641</v>
      </c>
      <c r="E133" s="21" t="s">
        <v>99</v>
      </c>
      <c r="F133" s="18" t="s">
        <v>35</v>
      </c>
      <c r="G133" s="21" t="s">
        <v>75</v>
      </c>
      <c r="H133" s="22" t="s">
        <v>668</v>
      </c>
      <c r="I133" s="22" t="s">
        <v>669</v>
      </c>
      <c r="J133" s="22" t="s">
        <v>670</v>
      </c>
      <c r="K133" s="22"/>
      <c r="L133" s="22" t="s">
        <v>80</v>
      </c>
      <c r="M133" s="22"/>
      <c r="N133" s="20"/>
      <c r="O133" s="38"/>
    </row>
    <row r="134" spans="1:15" ht="108.75" customHeight="1">
      <c r="A134" s="18" t="s">
        <v>671</v>
      </c>
      <c r="B134" s="19" t="s">
        <v>31</v>
      </c>
      <c r="C134" s="19" t="s">
        <v>640</v>
      </c>
      <c r="D134" s="19" t="s">
        <v>641</v>
      </c>
      <c r="E134" s="18" t="s">
        <v>99</v>
      </c>
      <c r="F134" s="18" t="s">
        <v>33</v>
      </c>
      <c r="G134" s="18" t="s">
        <v>193</v>
      </c>
      <c r="H134" s="19" t="s">
        <v>672</v>
      </c>
      <c r="I134" s="19" t="s">
        <v>673</v>
      </c>
      <c r="J134" s="19" t="s">
        <v>674</v>
      </c>
      <c r="K134" s="19"/>
      <c r="L134" s="19" t="s">
        <v>80</v>
      </c>
      <c r="M134" s="19"/>
      <c r="N134" s="20"/>
      <c r="O134" s="37"/>
    </row>
    <row r="135" spans="1:15" ht="48.75" customHeight="1">
      <c r="A135" s="21" t="s">
        <v>675</v>
      </c>
      <c r="B135" s="22" t="s">
        <v>31</v>
      </c>
      <c r="C135" s="22" t="s">
        <v>640</v>
      </c>
      <c r="D135" s="22" t="s">
        <v>641</v>
      </c>
      <c r="E135" s="21" t="s">
        <v>99</v>
      </c>
      <c r="F135" s="18" t="s">
        <v>37</v>
      </c>
      <c r="G135" s="21" t="s">
        <v>85</v>
      </c>
      <c r="H135" s="22" t="s">
        <v>676</v>
      </c>
      <c r="I135" s="22" t="s">
        <v>677</v>
      </c>
      <c r="J135" s="22" t="s">
        <v>678</v>
      </c>
      <c r="K135" s="22"/>
      <c r="L135" s="22" t="s">
        <v>80</v>
      </c>
      <c r="M135" s="22"/>
      <c r="N135" s="20"/>
      <c r="O135" s="38"/>
    </row>
    <row r="136" spans="1:15" ht="63.75" customHeight="1">
      <c r="A136" s="18" t="s">
        <v>679</v>
      </c>
      <c r="B136" s="19" t="s">
        <v>31</v>
      </c>
      <c r="C136" s="19" t="s">
        <v>640</v>
      </c>
      <c r="D136" s="19" t="s">
        <v>641</v>
      </c>
      <c r="E136" s="18" t="s">
        <v>99</v>
      </c>
      <c r="F136" s="18" t="s">
        <v>35</v>
      </c>
      <c r="G136" s="18" t="s">
        <v>193</v>
      </c>
      <c r="H136" s="19" t="s">
        <v>680</v>
      </c>
      <c r="I136" s="19" t="s">
        <v>681</v>
      </c>
      <c r="J136" s="19" t="s">
        <v>682</v>
      </c>
      <c r="K136" s="19"/>
      <c r="L136" s="19" t="s">
        <v>80</v>
      </c>
      <c r="M136" s="19"/>
      <c r="N136" s="20"/>
      <c r="O136" s="37"/>
    </row>
    <row r="137" spans="1:15" ht="33.75" customHeight="1">
      <c r="A137" s="21" t="s">
        <v>683</v>
      </c>
      <c r="B137" s="22" t="s">
        <v>31</v>
      </c>
      <c r="C137" s="22" t="s">
        <v>640</v>
      </c>
      <c r="D137" s="22" t="s">
        <v>641</v>
      </c>
      <c r="E137" s="21" t="s">
        <v>99</v>
      </c>
      <c r="F137" s="18" t="s">
        <v>37</v>
      </c>
      <c r="G137" s="21" t="s">
        <v>85</v>
      </c>
      <c r="H137" s="22" t="s">
        <v>684</v>
      </c>
      <c r="I137" s="22" t="s">
        <v>685</v>
      </c>
      <c r="J137" s="22" t="s">
        <v>686</v>
      </c>
      <c r="K137" s="22"/>
      <c r="L137" s="22" t="s">
        <v>80</v>
      </c>
      <c r="M137" s="22"/>
      <c r="N137" s="20"/>
      <c r="O137" s="38"/>
    </row>
    <row r="138" spans="1:15" ht="33.75" customHeight="1">
      <c r="A138" s="18" t="s">
        <v>687</v>
      </c>
      <c r="B138" s="19" t="s">
        <v>31</v>
      </c>
      <c r="C138" s="19" t="s">
        <v>640</v>
      </c>
      <c r="D138" s="19" t="s">
        <v>641</v>
      </c>
      <c r="E138" s="18" t="s">
        <v>99</v>
      </c>
      <c r="F138" s="18" t="s">
        <v>37</v>
      </c>
      <c r="G138" s="18" t="s">
        <v>75</v>
      </c>
      <c r="H138" s="19" t="s">
        <v>688</v>
      </c>
      <c r="I138" s="19" t="s">
        <v>689</v>
      </c>
      <c r="J138" s="19" t="s">
        <v>690</v>
      </c>
      <c r="K138" s="19"/>
      <c r="L138" s="19" t="s">
        <v>80</v>
      </c>
      <c r="M138" s="19"/>
      <c r="N138" s="20"/>
      <c r="O138" s="37"/>
    </row>
    <row r="139" spans="1:15" ht="93.75" customHeight="1">
      <c r="A139" s="21" t="s">
        <v>691</v>
      </c>
      <c r="B139" s="22" t="s">
        <v>31</v>
      </c>
      <c r="C139" s="22" t="s">
        <v>640</v>
      </c>
      <c r="D139" s="22" t="s">
        <v>641</v>
      </c>
      <c r="E139" s="21" t="s">
        <v>647</v>
      </c>
      <c r="F139" s="18" t="s">
        <v>33</v>
      </c>
      <c r="G139" s="21" t="s">
        <v>75</v>
      </c>
      <c r="H139" s="22" t="s">
        <v>692</v>
      </c>
      <c r="I139" s="22" t="s">
        <v>693</v>
      </c>
      <c r="J139" s="22" t="s">
        <v>694</v>
      </c>
      <c r="K139" s="22"/>
      <c r="L139" s="22" t="s">
        <v>80</v>
      </c>
      <c r="M139" s="22"/>
      <c r="N139" s="20"/>
      <c r="O139" s="38"/>
    </row>
    <row r="140" spans="1:15" ht="63.75" customHeight="1">
      <c r="A140" s="18" t="s">
        <v>695</v>
      </c>
      <c r="B140" s="19" t="s">
        <v>31</v>
      </c>
      <c r="C140" s="19" t="s">
        <v>640</v>
      </c>
      <c r="D140" s="19" t="s">
        <v>641</v>
      </c>
      <c r="E140" s="18" t="s">
        <v>99</v>
      </c>
      <c r="F140" s="18" t="s">
        <v>37</v>
      </c>
      <c r="G140" s="18" t="s">
        <v>85</v>
      </c>
      <c r="H140" s="19" t="s">
        <v>696</v>
      </c>
      <c r="I140" s="19" t="s">
        <v>697</v>
      </c>
      <c r="J140" s="19" t="s">
        <v>698</v>
      </c>
      <c r="K140" s="19"/>
      <c r="L140" s="19" t="s">
        <v>80</v>
      </c>
      <c r="M140" s="19"/>
      <c r="N140" s="20"/>
      <c r="O140" s="37"/>
    </row>
    <row r="141" spans="1:15" ht="300" customHeight="1">
      <c r="A141" s="21" t="s">
        <v>699</v>
      </c>
      <c r="B141" s="22" t="s">
        <v>31</v>
      </c>
      <c r="C141" s="22" t="s">
        <v>640</v>
      </c>
      <c r="D141" s="22" t="s">
        <v>641</v>
      </c>
      <c r="E141" s="21" t="s">
        <v>647</v>
      </c>
      <c r="F141" s="18" t="s">
        <v>33</v>
      </c>
      <c r="G141" s="21" t="s">
        <v>193</v>
      </c>
      <c r="H141" s="22" t="s">
        <v>700</v>
      </c>
      <c r="I141" s="22" t="s">
        <v>701</v>
      </c>
      <c r="J141" s="22" t="s">
        <v>702</v>
      </c>
      <c r="K141" s="22"/>
      <c r="L141" s="22" t="s">
        <v>80</v>
      </c>
      <c r="M141" s="22" t="s">
        <v>703</v>
      </c>
      <c r="N141" s="20"/>
      <c r="O141" s="38"/>
    </row>
  </sheetData>
  <conditionalFormatting sqref="F2:F141">
    <cfRule type="expression" dxfId="23" priority="2">
      <formula>$F2="Critical"</formula>
    </cfRule>
    <cfRule type="expression" dxfId="22" priority="3">
      <formula>$F2="High"</formula>
    </cfRule>
    <cfRule type="expression" dxfId="21" priority="4">
      <formula>$F2="Medium"</formula>
    </cfRule>
    <cfRule type="expression" dxfId="20" priority="5">
      <formula>$F2="Low"</formula>
    </cfRule>
  </conditionalFormatting>
  <dataValidations count="2">
    <dataValidation type="list" allowBlank="1" sqref="F2:F141" xr:uid="{00000000-0002-0000-0100-000000000000}">
      <formula1>"Critical,High,Medium,Low"</formula1>
      <formula2>0</formula2>
    </dataValidation>
    <dataValidation type="list" allowBlank="1" showInputMessage="1" showErrorMessage="1" sqref="O1:O1048576" xr:uid="{0DB97FEC-AE2B-4356-AC55-9BE1300D9CC6}">
      <formula1>"To Do, In Progress, Dev done, Completed"</formula1>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100-000001000000}">
          <x14:formula1>
            <xm:f>'Team Members'!$A$2:$A$41</xm:f>
          </x14:formula1>
          <x14:formula2>
            <xm:f>0</xm:f>
          </x14:formula2>
          <xm:sqref>N2:N141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78"/>
  <sheetViews>
    <sheetView showGridLines="0" zoomScaleNormal="100" workbookViewId="0">
      <pane xSplit="2" ySplit="1" topLeftCell="C2" activePane="bottomRight" state="frozen"/>
      <selection pane="bottomRight"/>
      <selection pane="bottomLeft" activeCell="A2" sqref="A2"/>
      <selection pane="topRight" activeCell="C1" sqref="C1"/>
    </sheetView>
  </sheetViews>
  <sheetFormatPr defaultColWidth="8.5703125" defaultRowHeight="14.45"/>
  <cols>
    <col min="1" max="2" width="10" customWidth="1"/>
    <col min="3" max="3" width="30" customWidth="1"/>
    <col min="4" max="4" width="42" customWidth="1"/>
    <col min="5" max="6" width="10" customWidth="1"/>
    <col min="7" max="7" width="30" customWidth="1"/>
    <col min="8" max="8" width="46" customWidth="1"/>
    <col min="9" max="9" width="36" customWidth="1"/>
    <col min="10" max="10" width="12" customWidth="1"/>
  </cols>
  <sheetData>
    <row r="1" spans="1:10" ht="31.5" customHeight="1">
      <c r="A1" s="17" t="s">
        <v>704</v>
      </c>
      <c r="B1" s="17" t="s">
        <v>56</v>
      </c>
      <c r="C1" s="17" t="s">
        <v>705</v>
      </c>
      <c r="D1" s="17" t="s">
        <v>706</v>
      </c>
      <c r="E1" s="17" t="s">
        <v>707</v>
      </c>
      <c r="F1" s="17" t="s">
        <v>61</v>
      </c>
      <c r="G1" s="17" t="s">
        <v>708</v>
      </c>
      <c r="H1" s="17" t="s">
        <v>709</v>
      </c>
      <c r="I1" s="17" t="s">
        <v>710</v>
      </c>
      <c r="J1" s="17" t="s">
        <v>711</v>
      </c>
    </row>
    <row r="2" spans="1:10" ht="183.75" customHeight="1">
      <c r="A2" s="18" t="s">
        <v>712</v>
      </c>
      <c r="B2" s="18" t="s">
        <v>71</v>
      </c>
      <c r="C2" s="19" t="s">
        <v>25</v>
      </c>
      <c r="D2" s="19" t="s">
        <v>713</v>
      </c>
      <c r="E2" s="18" t="s">
        <v>42</v>
      </c>
      <c r="F2" s="18" t="s">
        <v>33</v>
      </c>
      <c r="G2" s="19" t="s">
        <v>714</v>
      </c>
      <c r="H2" s="19" t="s">
        <v>715</v>
      </c>
      <c r="I2" s="19" t="s">
        <v>716</v>
      </c>
      <c r="J2" s="18" t="s">
        <v>51</v>
      </c>
    </row>
    <row r="3" spans="1:10" ht="108.75" customHeight="1">
      <c r="A3" s="21" t="s">
        <v>717</v>
      </c>
      <c r="B3" s="21" t="s">
        <v>71</v>
      </c>
      <c r="C3" s="22" t="s">
        <v>25</v>
      </c>
      <c r="D3" s="22" t="s">
        <v>718</v>
      </c>
      <c r="E3" s="18" t="s">
        <v>42</v>
      </c>
      <c r="F3" s="21" t="s">
        <v>33</v>
      </c>
      <c r="G3" s="22" t="s">
        <v>714</v>
      </c>
      <c r="H3" s="22" t="s">
        <v>719</v>
      </c>
      <c r="I3" s="22" t="s">
        <v>720</v>
      </c>
      <c r="J3" s="18" t="s">
        <v>51</v>
      </c>
    </row>
    <row r="4" spans="1:10" ht="108.75" customHeight="1">
      <c r="A4" s="18" t="s">
        <v>721</v>
      </c>
      <c r="B4" s="18" t="s">
        <v>71</v>
      </c>
      <c r="C4" s="19" t="s">
        <v>25</v>
      </c>
      <c r="D4" s="19" t="s">
        <v>722</v>
      </c>
      <c r="E4" s="18" t="s">
        <v>44</v>
      </c>
      <c r="F4" s="18" t="s">
        <v>33</v>
      </c>
      <c r="G4" s="19" t="s">
        <v>714</v>
      </c>
      <c r="H4" s="19" t="s">
        <v>723</v>
      </c>
      <c r="I4" s="19" t="s">
        <v>724</v>
      </c>
      <c r="J4" s="18" t="s">
        <v>51</v>
      </c>
    </row>
    <row r="5" spans="1:10" ht="108.75" customHeight="1">
      <c r="A5" s="21" t="s">
        <v>725</v>
      </c>
      <c r="B5" s="21" t="s">
        <v>71</v>
      </c>
      <c r="C5" s="22" t="s">
        <v>25</v>
      </c>
      <c r="D5" s="22" t="s">
        <v>726</v>
      </c>
      <c r="E5" s="18" t="s">
        <v>44</v>
      </c>
      <c r="F5" s="21" t="s">
        <v>33</v>
      </c>
      <c r="G5" s="22" t="s">
        <v>714</v>
      </c>
      <c r="H5" s="22" t="s">
        <v>727</v>
      </c>
      <c r="I5" s="22" t="s">
        <v>728</v>
      </c>
      <c r="J5" s="18" t="s">
        <v>51</v>
      </c>
    </row>
    <row r="6" spans="1:10" ht="108.75" customHeight="1">
      <c r="A6" s="18" t="s">
        <v>729</v>
      </c>
      <c r="B6" s="18" t="s">
        <v>71</v>
      </c>
      <c r="C6" s="19" t="s">
        <v>25</v>
      </c>
      <c r="D6" s="19" t="s">
        <v>730</v>
      </c>
      <c r="E6" s="18" t="s">
        <v>42</v>
      </c>
      <c r="F6" s="18" t="s">
        <v>33</v>
      </c>
      <c r="G6" s="19" t="s">
        <v>714</v>
      </c>
      <c r="H6" s="19" t="s">
        <v>731</v>
      </c>
      <c r="I6" s="19" t="s">
        <v>732</v>
      </c>
      <c r="J6" s="18" t="s">
        <v>51</v>
      </c>
    </row>
    <row r="7" spans="1:10" ht="93.75" customHeight="1">
      <c r="A7" s="21" t="s">
        <v>733</v>
      </c>
      <c r="B7" s="21" t="s">
        <v>71</v>
      </c>
      <c r="C7" s="22" t="s">
        <v>25</v>
      </c>
      <c r="D7" s="22" t="s">
        <v>734</v>
      </c>
      <c r="E7" s="18" t="s">
        <v>44</v>
      </c>
      <c r="F7" s="21" t="s">
        <v>33</v>
      </c>
      <c r="G7" s="22" t="s">
        <v>714</v>
      </c>
      <c r="H7" s="22" t="s">
        <v>735</v>
      </c>
      <c r="I7" s="22" t="s">
        <v>736</v>
      </c>
      <c r="J7" s="18" t="s">
        <v>51</v>
      </c>
    </row>
    <row r="8" spans="1:10" ht="93.75" customHeight="1">
      <c r="A8" s="18" t="s">
        <v>737</v>
      </c>
      <c r="B8" s="18" t="s">
        <v>71</v>
      </c>
      <c r="C8" s="19" t="s">
        <v>25</v>
      </c>
      <c r="D8" s="19" t="s">
        <v>738</v>
      </c>
      <c r="E8" s="18" t="s">
        <v>44</v>
      </c>
      <c r="F8" s="18" t="s">
        <v>33</v>
      </c>
      <c r="G8" s="19" t="s">
        <v>714</v>
      </c>
      <c r="H8" s="19" t="s">
        <v>739</v>
      </c>
      <c r="I8" s="19" t="s">
        <v>740</v>
      </c>
      <c r="J8" s="18" t="s">
        <v>51</v>
      </c>
    </row>
    <row r="9" spans="1:10" ht="138.75" customHeight="1">
      <c r="A9" s="21" t="s">
        <v>741</v>
      </c>
      <c r="B9" s="21" t="s">
        <v>71</v>
      </c>
      <c r="C9" s="22" t="s">
        <v>25</v>
      </c>
      <c r="D9" s="22" t="s">
        <v>742</v>
      </c>
      <c r="E9" s="18" t="s">
        <v>48</v>
      </c>
      <c r="F9" s="21" t="s">
        <v>33</v>
      </c>
      <c r="G9" s="22" t="s">
        <v>714</v>
      </c>
      <c r="H9" s="22" t="s">
        <v>743</v>
      </c>
      <c r="I9" s="22" t="s">
        <v>744</v>
      </c>
      <c r="J9" s="18" t="s">
        <v>51</v>
      </c>
    </row>
    <row r="10" spans="1:10" ht="108.75" customHeight="1">
      <c r="A10" s="18" t="s">
        <v>745</v>
      </c>
      <c r="B10" s="18" t="s">
        <v>71</v>
      </c>
      <c r="C10" s="19" t="s">
        <v>25</v>
      </c>
      <c r="D10" s="19" t="s">
        <v>746</v>
      </c>
      <c r="E10" s="18" t="s">
        <v>44</v>
      </c>
      <c r="F10" s="18" t="s">
        <v>33</v>
      </c>
      <c r="G10" s="19" t="s">
        <v>714</v>
      </c>
      <c r="H10" s="19" t="s">
        <v>747</v>
      </c>
      <c r="I10" s="19" t="s">
        <v>748</v>
      </c>
      <c r="J10" s="18" t="s">
        <v>51</v>
      </c>
    </row>
    <row r="11" spans="1:10" ht="93.75" customHeight="1">
      <c r="A11" s="21" t="s">
        <v>749</v>
      </c>
      <c r="B11" s="21" t="s">
        <v>71</v>
      </c>
      <c r="C11" s="22" t="s">
        <v>25</v>
      </c>
      <c r="D11" s="22" t="s">
        <v>750</v>
      </c>
      <c r="E11" s="18" t="s">
        <v>44</v>
      </c>
      <c r="F11" s="21" t="s">
        <v>33</v>
      </c>
      <c r="G11" s="22" t="s">
        <v>714</v>
      </c>
      <c r="H11" s="22" t="s">
        <v>751</v>
      </c>
      <c r="I11" s="22" t="s">
        <v>752</v>
      </c>
      <c r="J11" s="18" t="s">
        <v>51</v>
      </c>
    </row>
    <row r="12" spans="1:10" ht="93.75" customHeight="1">
      <c r="A12" s="18" t="s">
        <v>753</v>
      </c>
      <c r="B12" s="18" t="s">
        <v>71</v>
      </c>
      <c r="C12" s="19" t="s">
        <v>25</v>
      </c>
      <c r="D12" s="19" t="s">
        <v>754</v>
      </c>
      <c r="E12" s="18" t="s">
        <v>44</v>
      </c>
      <c r="F12" s="18" t="s">
        <v>33</v>
      </c>
      <c r="G12" s="19" t="s">
        <v>714</v>
      </c>
      <c r="H12" s="19" t="s">
        <v>755</v>
      </c>
      <c r="I12" s="19" t="s">
        <v>756</v>
      </c>
      <c r="J12" s="18" t="s">
        <v>51</v>
      </c>
    </row>
    <row r="13" spans="1:10" ht="93.75" customHeight="1">
      <c r="A13" s="21" t="s">
        <v>757</v>
      </c>
      <c r="B13" s="21" t="s">
        <v>71</v>
      </c>
      <c r="C13" s="22" t="s">
        <v>25</v>
      </c>
      <c r="D13" s="22" t="s">
        <v>758</v>
      </c>
      <c r="E13" s="18" t="s">
        <v>44</v>
      </c>
      <c r="F13" s="21" t="s">
        <v>33</v>
      </c>
      <c r="G13" s="22" t="s">
        <v>714</v>
      </c>
      <c r="H13" s="22" t="s">
        <v>759</v>
      </c>
      <c r="I13" s="22" t="s">
        <v>760</v>
      </c>
      <c r="J13" s="18" t="s">
        <v>51</v>
      </c>
    </row>
    <row r="14" spans="1:10" ht="93.75" customHeight="1">
      <c r="A14" s="18" t="s">
        <v>761</v>
      </c>
      <c r="B14" s="18" t="s">
        <v>71</v>
      </c>
      <c r="C14" s="19" t="s">
        <v>25</v>
      </c>
      <c r="D14" s="19" t="s">
        <v>762</v>
      </c>
      <c r="E14" s="18" t="s">
        <v>44</v>
      </c>
      <c r="F14" s="18" t="s">
        <v>33</v>
      </c>
      <c r="G14" s="19" t="s">
        <v>714</v>
      </c>
      <c r="H14" s="19" t="s">
        <v>763</v>
      </c>
      <c r="I14" s="19" t="s">
        <v>764</v>
      </c>
      <c r="J14" s="18" t="s">
        <v>51</v>
      </c>
    </row>
    <row r="15" spans="1:10" ht="78.75" customHeight="1">
      <c r="A15" s="21" t="s">
        <v>765</v>
      </c>
      <c r="B15" s="21" t="s">
        <v>71</v>
      </c>
      <c r="C15" s="22" t="s">
        <v>25</v>
      </c>
      <c r="D15" s="22" t="s">
        <v>766</v>
      </c>
      <c r="E15" s="18" t="s">
        <v>44</v>
      </c>
      <c r="F15" s="21" t="s">
        <v>33</v>
      </c>
      <c r="G15" s="22" t="s">
        <v>714</v>
      </c>
      <c r="H15" s="22" t="s">
        <v>767</v>
      </c>
      <c r="I15" s="22" t="s">
        <v>768</v>
      </c>
      <c r="J15" s="18" t="s">
        <v>51</v>
      </c>
    </row>
    <row r="16" spans="1:10" ht="93.75" customHeight="1">
      <c r="A16" s="18" t="s">
        <v>769</v>
      </c>
      <c r="B16" s="18" t="s">
        <v>71</v>
      </c>
      <c r="C16" s="19" t="s">
        <v>25</v>
      </c>
      <c r="D16" s="19" t="s">
        <v>770</v>
      </c>
      <c r="E16" s="18" t="s">
        <v>46</v>
      </c>
      <c r="F16" s="18" t="s">
        <v>33</v>
      </c>
      <c r="G16" s="19" t="s">
        <v>714</v>
      </c>
      <c r="H16" s="19" t="s">
        <v>771</v>
      </c>
      <c r="I16" s="19" t="s">
        <v>772</v>
      </c>
      <c r="J16" s="18" t="s">
        <v>51</v>
      </c>
    </row>
    <row r="17" spans="1:10" ht="93.75" customHeight="1">
      <c r="A17" s="21" t="s">
        <v>773</v>
      </c>
      <c r="B17" s="21" t="s">
        <v>71</v>
      </c>
      <c r="C17" s="22" t="s">
        <v>25</v>
      </c>
      <c r="D17" s="22" t="s">
        <v>774</v>
      </c>
      <c r="E17" s="18" t="s">
        <v>48</v>
      </c>
      <c r="F17" s="21" t="s">
        <v>33</v>
      </c>
      <c r="G17" s="22" t="s">
        <v>714</v>
      </c>
      <c r="H17" s="22" t="s">
        <v>775</v>
      </c>
      <c r="I17" s="22" t="s">
        <v>776</v>
      </c>
      <c r="J17" s="18" t="s">
        <v>51</v>
      </c>
    </row>
    <row r="18" spans="1:10" ht="78.75" customHeight="1">
      <c r="A18" s="18" t="s">
        <v>777</v>
      </c>
      <c r="B18" s="18" t="s">
        <v>71</v>
      </c>
      <c r="C18" s="19" t="s">
        <v>25</v>
      </c>
      <c r="D18" s="19" t="s">
        <v>778</v>
      </c>
      <c r="E18" s="18" t="s">
        <v>44</v>
      </c>
      <c r="F18" s="18" t="s">
        <v>33</v>
      </c>
      <c r="G18" s="19" t="s">
        <v>714</v>
      </c>
      <c r="H18" s="19" t="s">
        <v>779</v>
      </c>
      <c r="I18" s="19" t="s">
        <v>780</v>
      </c>
      <c r="J18" s="18" t="s">
        <v>51</v>
      </c>
    </row>
    <row r="19" spans="1:10" ht="93.75" customHeight="1">
      <c r="A19" s="21" t="s">
        <v>781</v>
      </c>
      <c r="B19" s="21" t="s">
        <v>71</v>
      </c>
      <c r="C19" s="22" t="s">
        <v>25</v>
      </c>
      <c r="D19" s="22" t="s">
        <v>782</v>
      </c>
      <c r="E19" s="18" t="s">
        <v>44</v>
      </c>
      <c r="F19" s="21" t="s">
        <v>33</v>
      </c>
      <c r="G19" s="22" t="s">
        <v>714</v>
      </c>
      <c r="H19" s="22" t="s">
        <v>783</v>
      </c>
      <c r="I19" s="22" t="s">
        <v>784</v>
      </c>
      <c r="J19" s="18" t="s">
        <v>51</v>
      </c>
    </row>
    <row r="20" spans="1:10" ht="78.75" customHeight="1">
      <c r="A20" s="18" t="s">
        <v>785</v>
      </c>
      <c r="B20" s="18" t="s">
        <v>71</v>
      </c>
      <c r="C20" s="19" t="s">
        <v>25</v>
      </c>
      <c r="D20" s="19" t="s">
        <v>786</v>
      </c>
      <c r="E20" s="18" t="s">
        <v>44</v>
      </c>
      <c r="F20" s="18" t="s">
        <v>33</v>
      </c>
      <c r="G20" s="19" t="s">
        <v>714</v>
      </c>
      <c r="H20" s="19" t="s">
        <v>787</v>
      </c>
      <c r="I20" s="19" t="s">
        <v>788</v>
      </c>
      <c r="J20" s="18" t="s">
        <v>51</v>
      </c>
    </row>
    <row r="21" spans="1:10" ht="93.75" customHeight="1">
      <c r="A21" s="21" t="s">
        <v>789</v>
      </c>
      <c r="B21" s="21" t="s">
        <v>71</v>
      </c>
      <c r="C21" s="22" t="s">
        <v>25</v>
      </c>
      <c r="D21" s="22" t="s">
        <v>790</v>
      </c>
      <c r="E21" s="18" t="s">
        <v>44</v>
      </c>
      <c r="F21" s="21" t="s">
        <v>33</v>
      </c>
      <c r="G21" s="22" t="s">
        <v>714</v>
      </c>
      <c r="H21" s="22" t="s">
        <v>791</v>
      </c>
      <c r="I21" s="22" t="s">
        <v>792</v>
      </c>
      <c r="J21" s="18" t="s">
        <v>51</v>
      </c>
    </row>
    <row r="22" spans="1:10" ht="78.75" customHeight="1">
      <c r="A22" s="18" t="s">
        <v>793</v>
      </c>
      <c r="B22" s="18" t="s">
        <v>71</v>
      </c>
      <c r="C22" s="19" t="s">
        <v>25</v>
      </c>
      <c r="D22" s="19" t="s">
        <v>794</v>
      </c>
      <c r="E22" s="18" t="s">
        <v>44</v>
      </c>
      <c r="F22" s="18" t="s">
        <v>33</v>
      </c>
      <c r="G22" s="19" t="s">
        <v>714</v>
      </c>
      <c r="H22" s="19" t="s">
        <v>795</v>
      </c>
      <c r="I22" s="19" t="s">
        <v>796</v>
      </c>
      <c r="J22" s="18" t="s">
        <v>51</v>
      </c>
    </row>
    <row r="23" spans="1:10" ht="93.75" customHeight="1">
      <c r="A23" s="21" t="s">
        <v>797</v>
      </c>
      <c r="B23" s="21" t="s">
        <v>71</v>
      </c>
      <c r="C23" s="22" t="s">
        <v>25</v>
      </c>
      <c r="D23" s="22" t="s">
        <v>798</v>
      </c>
      <c r="E23" s="18" t="s">
        <v>44</v>
      </c>
      <c r="F23" s="21" t="s">
        <v>33</v>
      </c>
      <c r="G23" s="22" t="s">
        <v>714</v>
      </c>
      <c r="H23" s="22" t="s">
        <v>799</v>
      </c>
      <c r="I23" s="22" t="s">
        <v>800</v>
      </c>
      <c r="J23" s="18" t="s">
        <v>51</v>
      </c>
    </row>
    <row r="24" spans="1:10" ht="78.75" customHeight="1">
      <c r="A24" s="18" t="s">
        <v>801</v>
      </c>
      <c r="B24" s="18" t="s">
        <v>71</v>
      </c>
      <c r="C24" s="19" t="s">
        <v>25</v>
      </c>
      <c r="D24" s="19" t="s">
        <v>802</v>
      </c>
      <c r="E24" s="18" t="s">
        <v>44</v>
      </c>
      <c r="F24" s="18" t="s">
        <v>33</v>
      </c>
      <c r="G24" s="19" t="s">
        <v>714</v>
      </c>
      <c r="H24" s="19" t="s">
        <v>803</v>
      </c>
      <c r="I24" s="19" t="s">
        <v>804</v>
      </c>
      <c r="J24" s="18" t="s">
        <v>51</v>
      </c>
    </row>
    <row r="25" spans="1:10" ht="78.75" customHeight="1">
      <c r="A25" s="21" t="s">
        <v>805</v>
      </c>
      <c r="B25" s="21" t="s">
        <v>71</v>
      </c>
      <c r="C25" s="22" t="s">
        <v>25</v>
      </c>
      <c r="D25" s="22" t="s">
        <v>806</v>
      </c>
      <c r="E25" s="18" t="s">
        <v>42</v>
      </c>
      <c r="F25" s="21" t="s">
        <v>33</v>
      </c>
      <c r="G25" s="22" t="s">
        <v>714</v>
      </c>
      <c r="H25" s="22" t="s">
        <v>807</v>
      </c>
      <c r="I25" s="22" t="s">
        <v>808</v>
      </c>
      <c r="J25" s="18" t="s">
        <v>51</v>
      </c>
    </row>
    <row r="26" spans="1:10" ht="48.75" customHeight="1">
      <c r="A26" s="18" t="s">
        <v>809</v>
      </c>
      <c r="B26" s="18" t="s">
        <v>71</v>
      </c>
      <c r="C26" s="19" t="s">
        <v>25</v>
      </c>
      <c r="D26" s="19" t="s">
        <v>810</v>
      </c>
      <c r="E26" s="18" t="s">
        <v>46</v>
      </c>
      <c r="F26" s="18" t="s">
        <v>33</v>
      </c>
      <c r="G26" s="19" t="s">
        <v>714</v>
      </c>
      <c r="H26" s="19" t="s">
        <v>811</v>
      </c>
      <c r="I26" s="19" t="s">
        <v>812</v>
      </c>
      <c r="J26" s="18" t="s">
        <v>51</v>
      </c>
    </row>
    <row r="27" spans="1:10" ht="78.75" customHeight="1">
      <c r="A27" s="21" t="s">
        <v>813</v>
      </c>
      <c r="B27" s="21" t="s">
        <v>71</v>
      </c>
      <c r="C27" s="22" t="s">
        <v>25</v>
      </c>
      <c r="D27" s="22" t="s">
        <v>814</v>
      </c>
      <c r="E27" s="18" t="s">
        <v>44</v>
      </c>
      <c r="F27" s="21" t="s">
        <v>33</v>
      </c>
      <c r="G27" s="22" t="s">
        <v>714</v>
      </c>
      <c r="H27" s="22" t="s">
        <v>815</v>
      </c>
      <c r="I27" s="22" t="s">
        <v>816</v>
      </c>
      <c r="J27" s="18" t="s">
        <v>51</v>
      </c>
    </row>
    <row r="28" spans="1:10" ht="78.75" customHeight="1">
      <c r="A28" s="18" t="s">
        <v>817</v>
      </c>
      <c r="B28" s="18" t="s">
        <v>71</v>
      </c>
      <c r="C28" s="19" t="s">
        <v>25</v>
      </c>
      <c r="D28" s="19" t="s">
        <v>818</v>
      </c>
      <c r="E28" s="18" t="s">
        <v>44</v>
      </c>
      <c r="F28" s="18" t="s">
        <v>33</v>
      </c>
      <c r="G28" s="19" t="s">
        <v>714</v>
      </c>
      <c r="H28" s="19" t="s">
        <v>819</v>
      </c>
      <c r="I28" s="19" t="s">
        <v>820</v>
      </c>
      <c r="J28" s="18" t="s">
        <v>51</v>
      </c>
    </row>
    <row r="29" spans="1:10" ht="48.75" customHeight="1">
      <c r="A29" s="21" t="s">
        <v>821</v>
      </c>
      <c r="B29" s="21" t="s">
        <v>71</v>
      </c>
      <c r="C29" s="22" t="s">
        <v>25</v>
      </c>
      <c r="D29" s="22" t="s">
        <v>822</v>
      </c>
      <c r="E29" s="18" t="s">
        <v>46</v>
      </c>
      <c r="F29" s="21" t="s">
        <v>33</v>
      </c>
      <c r="G29" s="22" t="s">
        <v>823</v>
      </c>
      <c r="H29" s="22" t="s">
        <v>824</v>
      </c>
      <c r="I29" s="22" t="s">
        <v>825</v>
      </c>
      <c r="J29" s="18" t="s">
        <v>51</v>
      </c>
    </row>
    <row r="30" spans="1:10" ht="48.75" customHeight="1">
      <c r="A30" s="18" t="s">
        <v>826</v>
      </c>
      <c r="B30" s="18" t="s">
        <v>71</v>
      </c>
      <c r="C30" s="19" t="s">
        <v>25</v>
      </c>
      <c r="D30" s="19" t="s">
        <v>827</v>
      </c>
      <c r="E30" s="18" t="s">
        <v>46</v>
      </c>
      <c r="F30" s="18" t="s">
        <v>33</v>
      </c>
      <c r="G30" s="19" t="s">
        <v>828</v>
      </c>
      <c r="H30" s="19" t="s">
        <v>829</v>
      </c>
      <c r="I30" s="19" t="s">
        <v>825</v>
      </c>
      <c r="J30" s="18" t="s">
        <v>51</v>
      </c>
    </row>
    <row r="31" spans="1:10" ht="108.75" customHeight="1">
      <c r="A31" s="21" t="s">
        <v>830</v>
      </c>
      <c r="B31" s="21" t="s">
        <v>71</v>
      </c>
      <c r="C31" s="22" t="s">
        <v>25</v>
      </c>
      <c r="D31" s="22" t="s">
        <v>831</v>
      </c>
      <c r="E31" s="18" t="s">
        <v>44</v>
      </c>
      <c r="F31" s="21" t="s">
        <v>33</v>
      </c>
      <c r="G31" s="22" t="s">
        <v>714</v>
      </c>
      <c r="H31" s="22" t="s">
        <v>832</v>
      </c>
      <c r="I31" s="22" t="s">
        <v>833</v>
      </c>
      <c r="J31" s="18" t="s">
        <v>51</v>
      </c>
    </row>
    <row r="32" spans="1:10" ht="93.75" customHeight="1">
      <c r="A32" s="18" t="s">
        <v>834</v>
      </c>
      <c r="B32" s="18" t="s">
        <v>84</v>
      </c>
      <c r="C32" s="19" t="s">
        <v>25</v>
      </c>
      <c r="D32" s="19" t="s">
        <v>835</v>
      </c>
      <c r="E32" s="18" t="s">
        <v>42</v>
      </c>
      <c r="F32" s="18" t="s">
        <v>33</v>
      </c>
      <c r="G32" s="19" t="s">
        <v>836</v>
      </c>
      <c r="H32" s="19" t="s">
        <v>837</v>
      </c>
      <c r="I32" s="19" t="s">
        <v>716</v>
      </c>
      <c r="J32" s="18" t="s">
        <v>51</v>
      </c>
    </row>
    <row r="33" spans="1:10" ht="78.75" customHeight="1">
      <c r="A33" s="21" t="s">
        <v>838</v>
      </c>
      <c r="B33" s="21" t="s">
        <v>84</v>
      </c>
      <c r="C33" s="22" t="s">
        <v>25</v>
      </c>
      <c r="D33" s="22" t="s">
        <v>839</v>
      </c>
      <c r="E33" s="18" t="s">
        <v>42</v>
      </c>
      <c r="F33" s="21" t="s">
        <v>33</v>
      </c>
      <c r="G33" s="22" t="s">
        <v>836</v>
      </c>
      <c r="H33" s="22" t="s">
        <v>840</v>
      </c>
      <c r="I33" s="22" t="s">
        <v>841</v>
      </c>
      <c r="J33" s="18" t="s">
        <v>51</v>
      </c>
    </row>
    <row r="34" spans="1:10" ht="78.75" customHeight="1">
      <c r="A34" s="18" t="s">
        <v>842</v>
      </c>
      <c r="B34" s="18" t="s">
        <v>84</v>
      </c>
      <c r="C34" s="19" t="s">
        <v>25</v>
      </c>
      <c r="D34" s="19" t="s">
        <v>843</v>
      </c>
      <c r="E34" s="18" t="s">
        <v>44</v>
      </c>
      <c r="F34" s="18" t="s">
        <v>33</v>
      </c>
      <c r="G34" s="19" t="s">
        <v>836</v>
      </c>
      <c r="H34" s="19" t="s">
        <v>844</v>
      </c>
      <c r="I34" s="19" t="s">
        <v>845</v>
      </c>
      <c r="J34" s="18" t="s">
        <v>51</v>
      </c>
    </row>
    <row r="35" spans="1:10" ht="78.75" customHeight="1">
      <c r="A35" s="21" t="s">
        <v>846</v>
      </c>
      <c r="B35" s="21" t="s">
        <v>84</v>
      </c>
      <c r="C35" s="22" t="s">
        <v>25</v>
      </c>
      <c r="D35" s="22" t="s">
        <v>847</v>
      </c>
      <c r="E35" s="18" t="s">
        <v>44</v>
      </c>
      <c r="F35" s="21" t="s">
        <v>33</v>
      </c>
      <c r="G35" s="22" t="s">
        <v>836</v>
      </c>
      <c r="H35" s="22" t="s">
        <v>848</v>
      </c>
      <c r="I35" s="22" t="s">
        <v>849</v>
      </c>
      <c r="J35" s="18" t="s">
        <v>51</v>
      </c>
    </row>
    <row r="36" spans="1:10" ht="78.75" customHeight="1">
      <c r="A36" s="18" t="s">
        <v>850</v>
      </c>
      <c r="B36" s="18" t="s">
        <v>84</v>
      </c>
      <c r="C36" s="19" t="s">
        <v>25</v>
      </c>
      <c r="D36" s="19" t="s">
        <v>851</v>
      </c>
      <c r="E36" s="18" t="s">
        <v>42</v>
      </c>
      <c r="F36" s="18" t="s">
        <v>33</v>
      </c>
      <c r="G36" s="19" t="s">
        <v>836</v>
      </c>
      <c r="H36" s="19" t="s">
        <v>852</v>
      </c>
      <c r="I36" s="19" t="s">
        <v>853</v>
      </c>
      <c r="J36" s="18" t="s">
        <v>51</v>
      </c>
    </row>
    <row r="37" spans="1:10" ht="78.75" customHeight="1">
      <c r="A37" s="21" t="s">
        <v>854</v>
      </c>
      <c r="B37" s="21" t="s">
        <v>84</v>
      </c>
      <c r="C37" s="22" t="s">
        <v>25</v>
      </c>
      <c r="D37" s="22" t="s">
        <v>855</v>
      </c>
      <c r="E37" s="18" t="s">
        <v>44</v>
      </c>
      <c r="F37" s="21" t="s">
        <v>33</v>
      </c>
      <c r="G37" s="22" t="s">
        <v>836</v>
      </c>
      <c r="H37" s="22" t="s">
        <v>856</v>
      </c>
      <c r="I37" s="22" t="s">
        <v>857</v>
      </c>
      <c r="J37" s="18" t="s">
        <v>51</v>
      </c>
    </row>
    <row r="38" spans="1:10" ht="123.75" customHeight="1">
      <c r="A38" s="18" t="s">
        <v>858</v>
      </c>
      <c r="B38" s="18" t="s">
        <v>84</v>
      </c>
      <c r="C38" s="19" t="s">
        <v>25</v>
      </c>
      <c r="D38" s="19" t="s">
        <v>859</v>
      </c>
      <c r="E38" s="18" t="s">
        <v>48</v>
      </c>
      <c r="F38" s="18" t="s">
        <v>33</v>
      </c>
      <c r="G38" s="19" t="s">
        <v>836</v>
      </c>
      <c r="H38" s="19" t="s">
        <v>860</v>
      </c>
      <c r="I38" s="19" t="s">
        <v>861</v>
      </c>
      <c r="J38" s="18" t="s">
        <v>51</v>
      </c>
    </row>
    <row r="39" spans="1:10" ht="78.75" customHeight="1">
      <c r="A39" s="21" t="s">
        <v>862</v>
      </c>
      <c r="B39" s="21" t="s">
        <v>84</v>
      </c>
      <c r="C39" s="22" t="s">
        <v>25</v>
      </c>
      <c r="D39" s="22" t="s">
        <v>863</v>
      </c>
      <c r="E39" s="18" t="s">
        <v>44</v>
      </c>
      <c r="F39" s="21" t="s">
        <v>33</v>
      </c>
      <c r="G39" s="22" t="s">
        <v>836</v>
      </c>
      <c r="H39" s="22" t="s">
        <v>864</v>
      </c>
      <c r="I39" s="22" t="s">
        <v>865</v>
      </c>
      <c r="J39" s="18" t="s">
        <v>51</v>
      </c>
    </row>
    <row r="40" spans="1:10" ht="78.75" customHeight="1">
      <c r="A40" s="18" t="s">
        <v>866</v>
      </c>
      <c r="B40" s="18" t="s">
        <v>84</v>
      </c>
      <c r="C40" s="19" t="s">
        <v>25</v>
      </c>
      <c r="D40" s="19" t="s">
        <v>867</v>
      </c>
      <c r="E40" s="18" t="s">
        <v>42</v>
      </c>
      <c r="F40" s="18" t="s">
        <v>33</v>
      </c>
      <c r="G40" s="19" t="s">
        <v>836</v>
      </c>
      <c r="H40" s="19" t="s">
        <v>868</v>
      </c>
      <c r="I40" s="19" t="s">
        <v>808</v>
      </c>
      <c r="J40" s="18" t="s">
        <v>51</v>
      </c>
    </row>
    <row r="41" spans="1:10" ht="48.75" customHeight="1">
      <c r="A41" s="21" t="s">
        <v>869</v>
      </c>
      <c r="B41" s="21" t="s">
        <v>84</v>
      </c>
      <c r="C41" s="22" t="s">
        <v>25</v>
      </c>
      <c r="D41" s="22" t="s">
        <v>870</v>
      </c>
      <c r="E41" s="18" t="s">
        <v>46</v>
      </c>
      <c r="F41" s="21" t="s">
        <v>33</v>
      </c>
      <c r="G41" s="22" t="s">
        <v>836</v>
      </c>
      <c r="H41" s="22" t="s">
        <v>871</v>
      </c>
      <c r="I41" s="22" t="s">
        <v>812</v>
      </c>
      <c r="J41" s="18" t="s">
        <v>51</v>
      </c>
    </row>
    <row r="42" spans="1:10" ht="93.75" customHeight="1">
      <c r="A42" s="18" t="s">
        <v>872</v>
      </c>
      <c r="B42" s="18" t="s">
        <v>84</v>
      </c>
      <c r="C42" s="19" t="s">
        <v>25</v>
      </c>
      <c r="D42" s="19" t="s">
        <v>873</v>
      </c>
      <c r="E42" s="18" t="s">
        <v>44</v>
      </c>
      <c r="F42" s="18" t="s">
        <v>33</v>
      </c>
      <c r="G42" s="19" t="s">
        <v>836</v>
      </c>
      <c r="H42" s="19" t="s">
        <v>874</v>
      </c>
      <c r="I42" s="19" t="s">
        <v>816</v>
      </c>
      <c r="J42" s="18" t="s">
        <v>51</v>
      </c>
    </row>
    <row r="43" spans="1:10" ht="78.75" customHeight="1">
      <c r="A43" s="21" t="s">
        <v>875</v>
      </c>
      <c r="B43" s="21" t="s">
        <v>84</v>
      </c>
      <c r="C43" s="22" t="s">
        <v>25</v>
      </c>
      <c r="D43" s="22" t="s">
        <v>876</v>
      </c>
      <c r="E43" s="18" t="s">
        <v>44</v>
      </c>
      <c r="F43" s="21" t="s">
        <v>33</v>
      </c>
      <c r="G43" s="22" t="s">
        <v>836</v>
      </c>
      <c r="H43" s="22" t="s">
        <v>877</v>
      </c>
      <c r="I43" s="22" t="s">
        <v>820</v>
      </c>
      <c r="J43" s="18" t="s">
        <v>51</v>
      </c>
    </row>
    <row r="44" spans="1:10" ht="48.75" customHeight="1">
      <c r="A44" s="18" t="s">
        <v>878</v>
      </c>
      <c r="B44" s="18" t="s">
        <v>84</v>
      </c>
      <c r="C44" s="19" t="s">
        <v>25</v>
      </c>
      <c r="D44" s="19" t="s">
        <v>879</v>
      </c>
      <c r="E44" s="18" t="s">
        <v>46</v>
      </c>
      <c r="F44" s="18" t="s">
        <v>33</v>
      </c>
      <c r="G44" s="19" t="s">
        <v>823</v>
      </c>
      <c r="H44" s="19" t="s">
        <v>880</v>
      </c>
      <c r="I44" s="19" t="s">
        <v>825</v>
      </c>
      <c r="J44" s="18" t="s">
        <v>51</v>
      </c>
    </row>
    <row r="45" spans="1:10" ht="48.75" customHeight="1">
      <c r="A45" s="21" t="s">
        <v>881</v>
      </c>
      <c r="B45" s="21" t="s">
        <v>84</v>
      </c>
      <c r="C45" s="22" t="s">
        <v>25</v>
      </c>
      <c r="D45" s="22" t="s">
        <v>882</v>
      </c>
      <c r="E45" s="18" t="s">
        <v>46</v>
      </c>
      <c r="F45" s="21" t="s">
        <v>33</v>
      </c>
      <c r="G45" s="22" t="s">
        <v>828</v>
      </c>
      <c r="H45" s="22" t="s">
        <v>883</v>
      </c>
      <c r="I45" s="22" t="s">
        <v>825</v>
      </c>
      <c r="J45" s="18" t="s">
        <v>51</v>
      </c>
    </row>
    <row r="46" spans="1:10" ht="78.75" customHeight="1">
      <c r="A46" s="18" t="s">
        <v>884</v>
      </c>
      <c r="B46" s="18" t="s">
        <v>91</v>
      </c>
      <c r="C46" s="19" t="s">
        <v>25</v>
      </c>
      <c r="D46" s="19" t="s">
        <v>885</v>
      </c>
      <c r="E46" s="18" t="s">
        <v>42</v>
      </c>
      <c r="F46" s="18" t="s">
        <v>37</v>
      </c>
      <c r="G46" s="19" t="s">
        <v>836</v>
      </c>
      <c r="H46" s="19" t="s">
        <v>886</v>
      </c>
      <c r="I46" s="19" t="s">
        <v>887</v>
      </c>
      <c r="J46" s="18" t="s">
        <v>51</v>
      </c>
    </row>
    <row r="47" spans="1:10" ht="78.75" customHeight="1">
      <c r="A47" s="21" t="s">
        <v>888</v>
      </c>
      <c r="B47" s="21" t="s">
        <v>91</v>
      </c>
      <c r="C47" s="22" t="s">
        <v>25</v>
      </c>
      <c r="D47" s="22" t="s">
        <v>889</v>
      </c>
      <c r="E47" s="18" t="s">
        <v>44</v>
      </c>
      <c r="F47" s="21" t="s">
        <v>37</v>
      </c>
      <c r="G47" s="22" t="s">
        <v>836</v>
      </c>
      <c r="H47" s="22" t="s">
        <v>890</v>
      </c>
      <c r="I47" s="22" t="s">
        <v>891</v>
      </c>
      <c r="J47" s="18" t="s">
        <v>51</v>
      </c>
    </row>
    <row r="48" spans="1:10" ht="78.75" customHeight="1">
      <c r="A48" s="18" t="s">
        <v>892</v>
      </c>
      <c r="B48" s="18" t="s">
        <v>91</v>
      </c>
      <c r="C48" s="19" t="s">
        <v>25</v>
      </c>
      <c r="D48" s="19" t="s">
        <v>893</v>
      </c>
      <c r="E48" s="18" t="s">
        <v>42</v>
      </c>
      <c r="F48" s="18" t="s">
        <v>37</v>
      </c>
      <c r="G48" s="19" t="s">
        <v>836</v>
      </c>
      <c r="H48" s="19" t="s">
        <v>894</v>
      </c>
      <c r="I48" s="19" t="s">
        <v>895</v>
      </c>
      <c r="J48" s="18" t="s">
        <v>51</v>
      </c>
    </row>
    <row r="49" spans="1:10" ht="78.75" customHeight="1">
      <c r="A49" s="21" t="s">
        <v>896</v>
      </c>
      <c r="B49" s="21" t="s">
        <v>91</v>
      </c>
      <c r="C49" s="22" t="s">
        <v>25</v>
      </c>
      <c r="D49" s="22" t="s">
        <v>897</v>
      </c>
      <c r="E49" s="18" t="s">
        <v>42</v>
      </c>
      <c r="F49" s="21" t="s">
        <v>37</v>
      </c>
      <c r="G49" s="22" t="s">
        <v>836</v>
      </c>
      <c r="H49" s="22" t="s">
        <v>898</v>
      </c>
      <c r="I49" s="22" t="s">
        <v>899</v>
      </c>
      <c r="J49" s="18" t="s">
        <v>51</v>
      </c>
    </row>
    <row r="50" spans="1:10" ht="78.75" customHeight="1">
      <c r="A50" s="18" t="s">
        <v>900</v>
      </c>
      <c r="B50" s="18" t="s">
        <v>91</v>
      </c>
      <c r="C50" s="19" t="s">
        <v>25</v>
      </c>
      <c r="D50" s="19" t="s">
        <v>901</v>
      </c>
      <c r="E50" s="18" t="s">
        <v>42</v>
      </c>
      <c r="F50" s="18" t="s">
        <v>37</v>
      </c>
      <c r="G50" s="19" t="s">
        <v>836</v>
      </c>
      <c r="H50" s="19" t="s">
        <v>902</v>
      </c>
      <c r="I50" s="19" t="s">
        <v>808</v>
      </c>
      <c r="J50" s="18" t="s">
        <v>51</v>
      </c>
    </row>
    <row r="51" spans="1:10" ht="63.75" customHeight="1">
      <c r="A51" s="21" t="s">
        <v>903</v>
      </c>
      <c r="B51" s="21" t="s">
        <v>91</v>
      </c>
      <c r="C51" s="22" t="s">
        <v>25</v>
      </c>
      <c r="D51" s="22" t="s">
        <v>904</v>
      </c>
      <c r="E51" s="18" t="s">
        <v>46</v>
      </c>
      <c r="F51" s="21" t="s">
        <v>37</v>
      </c>
      <c r="G51" s="22" t="s">
        <v>836</v>
      </c>
      <c r="H51" s="22" t="s">
        <v>905</v>
      </c>
      <c r="I51" s="22" t="s">
        <v>812</v>
      </c>
      <c r="J51" s="18" t="s">
        <v>51</v>
      </c>
    </row>
    <row r="52" spans="1:10" ht="93.75" customHeight="1">
      <c r="A52" s="18" t="s">
        <v>906</v>
      </c>
      <c r="B52" s="18" t="s">
        <v>91</v>
      </c>
      <c r="C52" s="19" t="s">
        <v>25</v>
      </c>
      <c r="D52" s="19" t="s">
        <v>907</v>
      </c>
      <c r="E52" s="18" t="s">
        <v>44</v>
      </c>
      <c r="F52" s="18" t="s">
        <v>37</v>
      </c>
      <c r="G52" s="19" t="s">
        <v>836</v>
      </c>
      <c r="H52" s="19" t="s">
        <v>908</v>
      </c>
      <c r="I52" s="19" t="s">
        <v>816</v>
      </c>
      <c r="J52" s="18" t="s">
        <v>51</v>
      </c>
    </row>
    <row r="53" spans="1:10" ht="93.75" customHeight="1">
      <c r="A53" s="21" t="s">
        <v>909</v>
      </c>
      <c r="B53" s="21" t="s">
        <v>91</v>
      </c>
      <c r="C53" s="22" t="s">
        <v>25</v>
      </c>
      <c r="D53" s="22" t="s">
        <v>910</v>
      </c>
      <c r="E53" s="18" t="s">
        <v>44</v>
      </c>
      <c r="F53" s="21" t="s">
        <v>37</v>
      </c>
      <c r="G53" s="22" t="s">
        <v>836</v>
      </c>
      <c r="H53" s="22" t="s">
        <v>911</v>
      </c>
      <c r="I53" s="22" t="s">
        <v>820</v>
      </c>
      <c r="J53" s="18" t="s">
        <v>51</v>
      </c>
    </row>
    <row r="54" spans="1:10" ht="48.75" customHeight="1">
      <c r="A54" s="18" t="s">
        <v>912</v>
      </c>
      <c r="B54" s="18" t="s">
        <v>91</v>
      </c>
      <c r="C54" s="19" t="s">
        <v>25</v>
      </c>
      <c r="D54" s="19" t="s">
        <v>913</v>
      </c>
      <c r="E54" s="18" t="s">
        <v>46</v>
      </c>
      <c r="F54" s="18" t="s">
        <v>37</v>
      </c>
      <c r="G54" s="19" t="s">
        <v>823</v>
      </c>
      <c r="H54" s="19" t="s">
        <v>914</v>
      </c>
      <c r="I54" s="19" t="s">
        <v>825</v>
      </c>
      <c r="J54" s="18" t="s">
        <v>51</v>
      </c>
    </row>
    <row r="55" spans="1:10" ht="48.75" customHeight="1">
      <c r="A55" s="21" t="s">
        <v>915</v>
      </c>
      <c r="B55" s="21" t="s">
        <v>91</v>
      </c>
      <c r="C55" s="22" t="s">
        <v>25</v>
      </c>
      <c r="D55" s="22" t="s">
        <v>916</v>
      </c>
      <c r="E55" s="18" t="s">
        <v>46</v>
      </c>
      <c r="F55" s="21" t="s">
        <v>37</v>
      </c>
      <c r="G55" s="22" t="s">
        <v>828</v>
      </c>
      <c r="H55" s="22" t="s">
        <v>917</v>
      </c>
      <c r="I55" s="22" t="s">
        <v>825</v>
      </c>
      <c r="J55" s="18" t="s">
        <v>51</v>
      </c>
    </row>
    <row r="56" spans="1:10" ht="78.75" customHeight="1">
      <c r="A56" s="18" t="s">
        <v>918</v>
      </c>
      <c r="B56" s="18" t="s">
        <v>98</v>
      </c>
      <c r="C56" s="19" t="s">
        <v>25</v>
      </c>
      <c r="D56" s="19" t="s">
        <v>919</v>
      </c>
      <c r="E56" s="18" t="s">
        <v>42</v>
      </c>
      <c r="F56" s="18" t="s">
        <v>33</v>
      </c>
      <c r="G56" s="19" t="s">
        <v>920</v>
      </c>
      <c r="H56" s="19" t="s">
        <v>921</v>
      </c>
      <c r="I56" s="19" t="s">
        <v>922</v>
      </c>
      <c r="J56" s="18" t="s">
        <v>51</v>
      </c>
    </row>
    <row r="57" spans="1:10" ht="78.75" customHeight="1">
      <c r="A57" s="21" t="s">
        <v>923</v>
      </c>
      <c r="B57" s="21" t="s">
        <v>98</v>
      </c>
      <c r="C57" s="22" t="s">
        <v>25</v>
      </c>
      <c r="D57" s="22" t="s">
        <v>924</v>
      </c>
      <c r="E57" s="18" t="s">
        <v>44</v>
      </c>
      <c r="F57" s="21" t="s">
        <v>33</v>
      </c>
      <c r="G57" s="22" t="s">
        <v>920</v>
      </c>
      <c r="H57" s="22" t="s">
        <v>925</v>
      </c>
      <c r="I57" s="22" t="s">
        <v>926</v>
      </c>
      <c r="J57" s="18" t="s">
        <v>51</v>
      </c>
    </row>
    <row r="58" spans="1:10" ht="78.75" customHeight="1">
      <c r="A58" s="18" t="s">
        <v>927</v>
      </c>
      <c r="B58" s="18" t="s">
        <v>98</v>
      </c>
      <c r="C58" s="19" t="s">
        <v>25</v>
      </c>
      <c r="D58" s="19" t="s">
        <v>928</v>
      </c>
      <c r="E58" s="18" t="s">
        <v>42</v>
      </c>
      <c r="F58" s="18" t="s">
        <v>33</v>
      </c>
      <c r="G58" s="19" t="s">
        <v>920</v>
      </c>
      <c r="H58" s="19" t="s">
        <v>929</v>
      </c>
      <c r="I58" s="19" t="s">
        <v>930</v>
      </c>
      <c r="J58" s="18" t="s">
        <v>51</v>
      </c>
    </row>
    <row r="59" spans="1:10" ht="78.75" customHeight="1">
      <c r="A59" s="21" t="s">
        <v>931</v>
      </c>
      <c r="B59" s="21" t="s">
        <v>98</v>
      </c>
      <c r="C59" s="22" t="s">
        <v>25</v>
      </c>
      <c r="D59" s="22" t="s">
        <v>932</v>
      </c>
      <c r="E59" s="18" t="s">
        <v>42</v>
      </c>
      <c r="F59" s="21" t="s">
        <v>33</v>
      </c>
      <c r="G59" s="22" t="s">
        <v>920</v>
      </c>
      <c r="H59" s="22" t="s">
        <v>933</v>
      </c>
      <c r="I59" s="22" t="s">
        <v>934</v>
      </c>
      <c r="J59" s="18" t="s">
        <v>51</v>
      </c>
    </row>
    <row r="60" spans="1:10" ht="78.75" customHeight="1">
      <c r="A60" s="18" t="s">
        <v>935</v>
      </c>
      <c r="B60" s="18" t="s">
        <v>98</v>
      </c>
      <c r="C60" s="19" t="s">
        <v>25</v>
      </c>
      <c r="D60" s="19" t="s">
        <v>936</v>
      </c>
      <c r="E60" s="18" t="s">
        <v>42</v>
      </c>
      <c r="F60" s="18" t="s">
        <v>33</v>
      </c>
      <c r="G60" s="19" t="s">
        <v>920</v>
      </c>
      <c r="H60" s="19" t="s">
        <v>937</v>
      </c>
      <c r="I60" s="19" t="s">
        <v>938</v>
      </c>
      <c r="J60" s="18" t="s">
        <v>51</v>
      </c>
    </row>
    <row r="61" spans="1:10" ht="78.75" customHeight="1">
      <c r="A61" s="21" t="s">
        <v>939</v>
      </c>
      <c r="B61" s="21" t="s">
        <v>98</v>
      </c>
      <c r="C61" s="22" t="s">
        <v>25</v>
      </c>
      <c r="D61" s="22" t="s">
        <v>940</v>
      </c>
      <c r="E61" s="18" t="s">
        <v>44</v>
      </c>
      <c r="F61" s="21" t="s">
        <v>33</v>
      </c>
      <c r="G61" s="22" t="s">
        <v>920</v>
      </c>
      <c r="H61" s="22" t="s">
        <v>941</v>
      </c>
      <c r="I61" s="22" t="s">
        <v>942</v>
      </c>
      <c r="J61" s="18" t="s">
        <v>51</v>
      </c>
    </row>
    <row r="62" spans="1:10" ht="123.75" customHeight="1">
      <c r="A62" s="18" t="s">
        <v>943</v>
      </c>
      <c r="B62" s="18" t="s">
        <v>98</v>
      </c>
      <c r="C62" s="19" t="s">
        <v>25</v>
      </c>
      <c r="D62" s="19" t="s">
        <v>944</v>
      </c>
      <c r="E62" s="18" t="s">
        <v>48</v>
      </c>
      <c r="F62" s="18" t="s">
        <v>33</v>
      </c>
      <c r="G62" s="19" t="s">
        <v>920</v>
      </c>
      <c r="H62" s="19" t="s">
        <v>945</v>
      </c>
      <c r="I62" s="19" t="s">
        <v>946</v>
      </c>
      <c r="J62" s="18" t="s">
        <v>51</v>
      </c>
    </row>
    <row r="63" spans="1:10" ht="78.75" customHeight="1">
      <c r="A63" s="21" t="s">
        <v>947</v>
      </c>
      <c r="B63" s="21" t="s">
        <v>98</v>
      </c>
      <c r="C63" s="22" t="s">
        <v>25</v>
      </c>
      <c r="D63" s="22" t="s">
        <v>948</v>
      </c>
      <c r="E63" s="18" t="s">
        <v>44</v>
      </c>
      <c r="F63" s="21" t="s">
        <v>33</v>
      </c>
      <c r="G63" s="22" t="s">
        <v>920</v>
      </c>
      <c r="H63" s="22" t="s">
        <v>949</v>
      </c>
      <c r="I63" s="22" t="s">
        <v>950</v>
      </c>
      <c r="J63" s="18" t="s">
        <v>51</v>
      </c>
    </row>
    <row r="64" spans="1:10" ht="78.75" customHeight="1">
      <c r="A64" s="18" t="s">
        <v>951</v>
      </c>
      <c r="B64" s="18" t="s">
        <v>98</v>
      </c>
      <c r="C64" s="19" t="s">
        <v>25</v>
      </c>
      <c r="D64" s="19" t="s">
        <v>952</v>
      </c>
      <c r="E64" s="18" t="s">
        <v>44</v>
      </c>
      <c r="F64" s="18" t="s">
        <v>33</v>
      </c>
      <c r="G64" s="19" t="s">
        <v>920</v>
      </c>
      <c r="H64" s="19" t="s">
        <v>953</v>
      </c>
      <c r="I64" s="19" t="s">
        <v>954</v>
      </c>
      <c r="J64" s="18" t="s">
        <v>51</v>
      </c>
    </row>
    <row r="65" spans="1:10" ht="48.75" customHeight="1">
      <c r="A65" s="21" t="s">
        <v>955</v>
      </c>
      <c r="B65" s="21" t="s">
        <v>98</v>
      </c>
      <c r="C65" s="22" t="s">
        <v>25</v>
      </c>
      <c r="D65" s="22" t="s">
        <v>956</v>
      </c>
      <c r="E65" s="18" t="s">
        <v>46</v>
      </c>
      <c r="F65" s="21" t="s">
        <v>33</v>
      </c>
      <c r="G65" s="22" t="s">
        <v>823</v>
      </c>
      <c r="H65" s="22" t="s">
        <v>957</v>
      </c>
      <c r="I65" s="22" t="s">
        <v>958</v>
      </c>
      <c r="J65" s="18" t="s">
        <v>51</v>
      </c>
    </row>
    <row r="66" spans="1:10" ht="48.75" customHeight="1">
      <c r="A66" s="18" t="s">
        <v>959</v>
      </c>
      <c r="B66" s="18" t="s">
        <v>98</v>
      </c>
      <c r="C66" s="19" t="s">
        <v>25</v>
      </c>
      <c r="D66" s="19" t="s">
        <v>960</v>
      </c>
      <c r="E66" s="18" t="s">
        <v>46</v>
      </c>
      <c r="F66" s="18" t="s">
        <v>33</v>
      </c>
      <c r="G66" s="19" t="s">
        <v>961</v>
      </c>
      <c r="H66" s="19" t="s">
        <v>962</v>
      </c>
      <c r="I66" s="19" t="s">
        <v>958</v>
      </c>
      <c r="J66" s="18" t="s">
        <v>51</v>
      </c>
    </row>
    <row r="67" spans="1:10" ht="48.75" customHeight="1">
      <c r="A67" s="21" t="s">
        <v>963</v>
      </c>
      <c r="B67" s="21" t="s">
        <v>98</v>
      </c>
      <c r="C67" s="22" t="s">
        <v>25</v>
      </c>
      <c r="D67" s="22" t="s">
        <v>964</v>
      </c>
      <c r="E67" s="18" t="s">
        <v>46</v>
      </c>
      <c r="F67" s="21" t="s">
        <v>33</v>
      </c>
      <c r="G67" s="22" t="s">
        <v>828</v>
      </c>
      <c r="H67" s="22" t="s">
        <v>965</v>
      </c>
      <c r="I67" s="22" t="s">
        <v>958</v>
      </c>
      <c r="J67" s="18" t="s">
        <v>51</v>
      </c>
    </row>
    <row r="68" spans="1:10" ht="78.75" customHeight="1">
      <c r="A68" s="18" t="s">
        <v>966</v>
      </c>
      <c r="B68" s="18" t="s">
        <v>104</v>
      </c>
      <c r="C68" s="19" t="s">
        <v>25</v>
      </c>
      <c r="D68" s="19" t="s">
        <v>967</v>
      </c>
      <c r="E68" s="18" t="s">
        <v>42</v>
      </c>
      <c r="F68" s="18" t="s">
        <v>37</v>
      </c>
      <c r="G68" s="19" t="s">
        <v>920</v>
      </c>
      <c r="H68" s="19" t="s">
        <v>968</v>
      </c>
      <c r="I68" s="19" t="s">
        <v>969</v>
      </c>
      <c r="J68" s="18" t="s">
        <v>51</v>
      </c>
    </row>
    <row r="69" spans="1:10" ht="78.75" customHeight="1">
      <c r="A69" s="21" t="s">
        <v>970</v>
      </c>
      <c r="B69" s="21" t="s">
        <v>104</v>
      </c>
      <c r="C69" s="22" t="s">
        <v>25</v>
      </c>
      <c r="D69" s="22" t="s">
        <v>971</v>
      </c>
      <c r="E69" s="18" t="s">
        <v>42</v>
      </c>
      <c r="F69" s="21" t="s">
        <v>37</v>
      </c>
      <c r="G69" s="22" t="s">
        <v>920</v>
      </c>
      <c r="H69" s="22" t="s">
        <v>972</v>
      </c>
      <c r="I69" s="22" t="s">
        <v>973</v>
      </c>
      <c r="J69" s="18" t="s">
        <v>51</v>
      </c>
    </row>
    <row r="70" spans="1:10" ht="78.75" customHeight="1">
      <c r="A70" s="18" t="s">
        <v>974</v>
      </c>
      <c r="B70" s="18" t="s">
        <v>104</v>
      </c>
      <c r="C70" s="19" t="s">
        <v>25</v>
      </c>
      <c r="D70" s="19" t="s">
        <v>975</v>
      </c>
      <c r="E70" s="18" t="s">
        <v>44</v>
      </c>
      <c r="F70" s="18" t="s">
        <v>37</v>
      </c>
      <c r="G70" s="19" t="s">
        <v>920</v>
      </c>
      <c r="H70" s="19" t="s">
        <v>976</v>
      </c>
      <c r="I70" s="19" t="s">
        <v>977</v>
      </c>
      <c r="J70" s="18" t="s">
        <v>51</v>
      </c>
    </row>
    <row r="71" spans="1:10" ht="48.75" customHeight="1">
      <c r="A71" s="21" t="s">
        <v>978</v>
      </c>
      <c r="B71" s="21" t="s">
        <v>104</v>
      </c>
      <c r="C71" s="22" t="s">
        <v>25</v>
      </c>
      <c r="D71" s="22" t="s">
        <v>979</v>
      </c>
      <c r="E71" s="18" t="s">
        <v>46</v>
      </c>
      <c r="F71" s="21" t="s">
        <v>37</v>
      </c>
      <c r="G71" s="22" t="s">
        <v>823</v>
      </c>
      <c r="H71" s="22" t="s">
        <v>980</v>
      </c>
      <c r="I71" s="22" t="s">
        <v>958</v>
      </c>
      <c r="J71" s="18" t="s">
        <v>51</v>
      </c>
    </row>
    <row r="72" spans="1:10" ht="48.75" customHeight="1">
      <c r="A72" s="18" t="s">
        <v>981</v>
      </c>
      <c r="B72" s="18" t="s">
        <v>104</v>
      </c>
      <c r="C72" s="19" t="s">
        <v>25</v>
      </c>
      <c r="D72" s="19" t="s">
        <v>982</v>
      </c>
      <c r="E72" s="18" t="s">
        <v>46</v>
      </c>
      <c r="F72" s="18" t="s">
        <v>37</v>
      </c>
      <c r="G72" s="19" t="s">
        <v>961</v>
      </c>
      <c r="H72" s="19" t="s">
        <v>983</v>
      </c>
      <c r="I72" s="19" t="s">
        <v>958</v>
      </c>
      <c r="J72" s="18" t="s">
        <v>51</v>
      </c>
    </row>
    <row r="73" spans="1:10" ht="48.75" customHeight="1">
      <c r="A73" s="21" t="s">
        <v>984</v>
      </c>
      <c r="B73" s="21" t="s">
        <v>104</v>
      </c>
      <c r="C73" s="22" t="s">
        <v>25</v>
      </c>
      <c r="D73" s="22" t="s">
        <v>985</v>
      </c>
      <c r="E73" s="18" t="s">
        <v>46</v>
      </c>
      <c r="F73" s="21" t="s">
        <v>37</v>
      </c>
      <c r="G73" s="22" t="s">
        <v>828</v>
      </c>
      <c r="H73" s="22" t="s">
        <v>986</v>
      </c>
      <c r="I73" s="22" t="s">
        <v>958</v>
      </c>
      <c r="J73" s="18" t="s">
        <v>51</v>
      </c>
    </row>
    <row r="74" spans="1:10" ht="78.75" customHeight="1">
      <c r="A74" s="18" t="s">
        <v>987</v>
      </c>
      <c r="B74" s="18" t="s">
        <v>109</v>
      </c>
      <c r="C74" s="19" t="s">
        <v>25</v>
      </c>
      <c r="D74" s="19" t="s">
        <v>988</v>
      </c>
      <c r="E74" s="18" t="s">
        <v>42</v>
      </c>
      <c r="F74" s="18" t="s">
        <v>35</v>
      </c>
      <c r="G74" s="19" t="s">
        <v>920</v>
      </c>
      <c r="H74" s="19" t="s">
        <v>989</v>
      </c>
      <c r="I74" s="19" t="s">
        <v>990</v>
      </c>
      <c r="J74" s="18" t="s">
        <v>51</v>
      </c>
    </row>
    <row r="75" spans="1:10" ht="78.75" customHeight="1">
      <c r="A75" s="21" t="s">
        <v>991</v>
      </c>
      <c r="B75" s="21" t="s">
        <v>109</v>
      </c>
      <c r="C75" s="22" t="s">
        <v>25</v>
      </c>
      <c r="D75" s="22" t="s">
        <v>992</v>
      </c>
      <c r="E75" s="18" t="s">
        <v>42</v>
      </c>
      <c r="F75" s="21" t="s">
        <v>35</v>
      </c>
      <c r="G75" s="22" t="s">
        <v>920</v>
      </c>
      <c r="H75" s="22" t="s">
        <v>993</v>
      </c>
      <c r="I75" s="22" t="s">
        <v>994</v>
      </c>
      <c r="J75" s="18" t="s">
        <v>51</v>
      </c>
    </row>
    <row r="76" spans="1:10" ht="63.75" customHeight="1">
      <c r="A76" s="18" t="s">
        <v>995</v>
      </c>
      <c r="B76" s="18" t="s">
        <v>109</v>
      </c>
      <c r="C76" s="19" t="s">
        <v>25</v>
      </c>
      <c r="D76" s="19" t="s">
        <v>996</v>
      </c>
      <c r="E76" s="18" t="s">
        <v>42</v>
      </c>
      <c r="F76" s="18" t="s">
        <v>35</v>
      </c>
      <c r="G76" s="19" t="s">
        <v>920</v>
      </c>
      <c r="H76" s="19" t="s">
        <v>997</v>
      </c>
      <c r="I76" s="19" t="s">
        <v>998</v>
      </c>
      <c r="J76" s="18" t="s">
        <v>51</v>
      </c>
    </row>
    <row r="77" spans="1:10" ht="78.75" customHeight="1">
      <c r="A77" s="21" t="s">
        <v>999</v>
      </c>
      <c r="B77" s="21" t="s">
        <v>109</v>
      </c>
      <c r="C77" s="22" t="s">
        <v>25</v>
      </c>
      <c r="D77" s="22" t="s">
        <v>1000</v>
      </c>
      <c r="E77" s="18" t="s">
        <v>44</v>
      </c>
      <c r="F77" s="21" t="s">
        <v>35</v>
      </c>
      <c r="G77" s="22" t="s">
        <v>920</v>
      </c>
      <c r="H77" s="22" t="s">
        <v>1001</v>
      </c>
      <c r="I77" s="22" t="s">
        <v>1002</v>
      </c>
      <c r="J77" s="18" t="s">
        <v>51</v>
      </c>
    </row>
    <row r="78" spans="1:10" ht="63.75" customHeight="1">
      <c r="A78" s="18" t="s">
        <v>1003</v>
      </c>
      <c r="B78" s="18" t="s">
        <v>109</v>
      </c>
      <c r="C78" s="19" t="s">
        <v>25</v>
      </c>
      <c r="D78" s="19" t="s">
        <v>1004</v>
      </c>
      <c r="E78" s="18" t="s">
        <v>42</v>
      </c>
      <c r="F78" s="18" t="s">
        <v>35</v>
      </c>
      <c r="G78" s="19" t="s">
        <v>920</v>
      </c>
      <c r="H78" s="19" t="s">
        <v>1005</v>
      </c>
      <c r="I78" s="19" t="s">
        <v>1006</v>
      </c>
      <c r="J78" s="18" t="s">
        <v>51</v>
      </c>
    </row>
    <row r="79" spans="1:10" ht="78.75" customHeight="1">
      <c r="A79" s="21" t="s">
        <v>1007</v>
      </c>
      <c r="B79" s="21" t="s">
        <v>109</v>
      </c>
      <c r="C79" s="22" t="s">
        <v>25</v>
      </c>
      <c r="D79" s="22" t="s">
        <v>1008</v>
      </c>
      <c r="E79" s="18" t="s">
        <v>42</v>
      </c>
      <c r="F79" s="21" t="s">
        <v>35</v>
      </c>
      <c r="G79" s="22" t="s">
        <v>920</v>
      </c>
      <c r="H79" s="22" t="s">
        <v>1009</v>
      </c>
      <c r="I79" s="22" t="s">
        <v>1010</v>
      </c>
      <c r="J79" s="18" t="s">
        <v>51</v>
      </c>
    </row>
    <row r="80" spans="1:10" ht="48.75" customHeight="1">
      <c r="A80" s="18" t="s">
        <v>1011</v>
      </c>
      <c r="B80" s="18" t="s">
        <v>109</v>
      </c>
      <c r="C80" s="19" t="s">
        <v>25</v>
      </c>
      <c r="D80" s="19" t="s">
        <v>1012</v>
      </c>
      <c r="E80" s="18" t="s">
        <v>46</v>
      </c>
      <c r="F80" s="18" t="s">
        <v>35</v>
      </c>
      <c r="G80" s="19" t="s">
        <v>823</v>
      </c>
      <c r="H80" s="19" t="s">
        <v>1013</v>
      </c>
      <c r="I80" s="19" t="s">
        <v>958</v>
      </c>
      <c r="J80" s="18" t="s">
        <v>51</v>
      </c>
    </row>
    <row r="81" spans="1:10" ht="48.75" customHeight="1">
      <c r="A81" s="21" t="s">
        <v>1014</v>
      </c>
      <c r="B81" s="21" t="s">
        <v>109</v>
      </c>
      <c r="C81" s="22" t="s">
        <v>25</v>
      </c>
      <c r="D81" s="22" t="s">
        <v>1015</v>
      </c>
      <c r="E81" s="18" t="s">
        <v>46</v>
      </c>
      <c r="F81" s="21" t="s">
        <v>35</v>
      </c>
      <c r="G81" s="22" t="s">
        <v>961</v>
      </c>
      <c r="H81" s="22" t="s">
        <v>1016</v>
      </c>
      <c r="I81" s="22" t="s">
        <v>958</v>
      </c>
      <c r="J81" s="18" t="s">
        <v>51</v>
      </c>
    </row>
    <row r="82" spans="1:10" ht="48.75" customHeight="1">
      <c r="A82" s="18" t="s">
        <v>1017</v>
      </c>
      <c r="B82" s="18" t="s">
        <v>109</v>
      </c>
      <c r="C82" s="19" t="s">
        <v>25</v>
      </c>
      <c r="D82" s="19" t="s">
        <v>1018</v>
      </c>
      <c r="E82" s="18" t="s">
        <v>46</v>
      </c>
      <c r="F82" s="18" t="s">
        <v>35</v>
      </c>
      <c r="G82" s="19" t="s">
        <v>828</v>
      </c>
      <c r="H82" s="19" t="s">
        <v>1019</v>
      </c>
      <c r="I82" s="19" t="s">
        <v>958</v>
      </c>
      <c r="J82" s="18" t="s">
        <v>51</v>
      </c>
    </row>
    <row r="83" spans="1:10" ht="78.75" customHeight="1">
      <c r="A83" s="21" t="s">
        <v>1020</v>
      </c>
      <c r="B83" s="21" t="s">
        <v>113</v>
      </c>
      <c r="C83" s="22" t="s">
        <v>25</v>
      </c>
      <c r="D83" s="22" t="s">
        <v>1021</v>
      </c>
      <c r="E83" s="18" t="s">
        <v>42</v>
      </c>
      <c r="F83" s="21" t="s">
        <v>35</v>
      </c>
      <c r="G83" s="22" t="s">
        <v>920</v>
      </c>
      <c r="H83" s="22" t="s">
        <v>1022</v>
      </c>
      <c r="I83" s="22" t="s">
        <v>1023</v>
      </c>
      <c r="J83" s="18" t="s">
        <v>51</v>
      </c>
    </row>
    <row r="84" spans="1:10" ht="78.75" customHeight="1">
      <c r="A84" s="18" t="s">
        <v>1024</v>
      </c>
      <c r="B84" s="18" t="s">
        <v>113</v>
      </c>
      <c r="C84" s="19" t="s">
        <v>25</v>
      </c>
      <c r="D84" s="19" t="s">
        <v>1025</v>
      </c>
      <c r="E84" s="18" t="s">
        <v>42</v>
      </c>
      <c r="F84" s="18" t="s">
        <v>35</v>
      </c>
      <c r="G84" s="19" t="s">
        <v>920</v>
      </c>
      <c r="H84" s="19" t="s">
        <v>1026</v>
      </c>
      <c r="I84" s="19" t="s">
        <v>1027</v>
      </c>
      <c r="J84" s="18" t="s">
        <v>51</v>
      </c>
    </row>
    <row r="85" spans="1:10" ht="78.75" customHeight="1">
      <c r="A85" s="21" t="s">
        <v>1028</v>
      </c>
      <c r="B85" s="21" t="s">
        <v>113</v>
      </c>
      <c r="C85" s="22" t="s">
        <v>25</v>
      </c>
      <c r="D85" s="22" t="s">
        <v>1029</v>
      </c>
      <c r="E85" s="18" t="s">
        <v>42</v>
      </c>
      <c r="F85" s="21" t="s">
        <v>35</v>
      </c>
      <c r="G85" s="22" t="s">
        <v>920</v>
      </c>
      <c r="H85" s="22" t="s">
        <v>1030</v>
      </c>
      <c r="I85" s="22" t="s">
        <v>1031</v>
      </c>
      <c r="J85" s="18" t="s">
        <v>51</v>
      </c>
    </row>
    <row r="86" spans="1:10" ht="78.75" customHeight="1">
      <c r="A86" s="18" t="s">
        <v>1032</v>
      </c>
      <c r="B86" s="18" t="s">
        <v>113</v>
      </c>
      <c r="C86" s="19" t="s">
        <v>25</v>
      </c>
      <c r="D86" s="19" t="s">
        <v>1033</v>
      </c>
      <c r="E86" s="18" t="s">
        <v>42</v>
      </c>
      <c r="F86" s="18" t="s">
        <v>35</v>
      </c>
      <c r="G86" s="19" t="s">
        <v>920</v>
      </c>
      <c r="H86" s="19" t="s">
        <v>1034</v>
      </c>
      <c r="I86" s="19" t="s">
        <v>1035</v>
      </c>
      <c r="J86" s="18" t="s">
        <v>51</v>
      </c>
    </row>
    <row r="87" spans="1:10" ht="48.75" customHeight="1">
      <c r="A87" s="21" t="s">
        <v>1036</v>
      </c>
      <c r="B87" s="21" t="s">
        <v>113</v>
      </c>
      <c r="C87" s="22" t="s">
        <v>25</v>
      </c>
      <c r="D87" s="22" t="s">
        <v>1037</v>
      </c>
      <c r="E87" s="18" t="s">
        <v>46</v>
      </c>
      <c r="F87" s="21" t="s">
        <v>35</v>
      </c>
      <c r="G87" s="22" t="s">
        <v>823</v>
      </c>
      <c r="H87" s="22" t="s">
        <v>1038</v>
      </c>
      <c r="I87" s="22" t="s">
        <v>958</v>
      </c>
      <c r="J87" s="18" t="s">
        <v>51</v>
      </c>
    </row>
    <row r="88" spans="1:10" ht="48.75" customHeight="1">
      <c r="A88" s="18" t="s">
        <v>1039</v>
      </c>
      <c r="B88" s="18" t="s">
        <v>113</v>
      </c>
      <c r="C88" s="19" t="s">
        <v>25</v>
      </c>
      <c r="D88" s="19" t="s">
        <v>1040</v>
      </c>
      <c r="E88" s="18" t="s">
        <v>46</v>
      </c>
      <c r="F88" s="18" t="s">
        <v>35</v>
      </c>
      <c r="G88" s="19" t="s">
        <v>961</v>
      </c>
      <c r="H88" s="19" t="s">
        <v>1041</v>
      </c>
      <c r="I88" s="19" t="s">
        <v>958</v>
      </c>
      <c r="J88" s="18" t="s">
        <v>51</v>
      </c>
    </row>
    <row r="89" spans="1:10" ht="48.75" customHeight="1">
      <c r="A89" s="21" t="s">
        <v>1042</v>
      </c>
      <c r="B89" s="21" t="s">
        <v>113</v>
      </c>
      <c r="C89" s="22" t="s">
        <v>25</v>
      </c>
      <c r="D89" s="22" t="s">
        <v>1043</v>
      </c>
      <c r="E89" s="18" t="s">
        <v>46</v>
      </c>
      <c r="F89" s="21" t="s">
        <v>35</v>
      </c>
      <c r="G89" s="22" t="s">
        <v>828</v>
      </c>
      <c r="H89" s="22" t="s">
        <v>1044</v>
      </c>
      <c r="I89" s="22" t="s">
        <v>958</v>
      </c>
      <c r="J89" s="18" t="s">
        <v>51</v>
      </c>
    </row>
    <row r="90" spans="1:10" ht="78.75" customHeight="1">
      <c r="A90" s="18" t="s">
        <v>1045</v>
      </c>
      <c r="B90" s="18" t="s">
        <v>118</v>
      </c>
      <c r="C90" s="19" t="s">
        <v>25</v>
      </c>
      <c r="D90" s="19" t="s">
        <v>1046</v>
      </c>
      <c r="E90" s="18" t="s">
        <v>42</v>
      </c>
      <c r="F90" s="18" t="s">
        <v>37</v>
      </c>
      <c r="G90" s="19" t="s">
        <v>920</v>
      </c>
      <c r="H90" s="19" t="s">
        <v>1047</v>
      </c>
      <c r="I90" s="19" t="s">
        <v>1048</v>
      </c>
      <c r="J90" s="18" t="s">
        <v>51</v>
      </c>
    </row>
    <row r="91" spans="1:10" ht="78.75" customHeight="1">
      <c r="A91" s="21" t="s">
        <v>1049</v>
      </c>
      <c r="B91" s="21" t="s">
        <v>118</v>
      </c>
      <c r="C91" s="22" t="s">
        <v>25</v>
      </c>
      <c r="D91" s="22" t="s">
        <v>1050</v>
      </c>
      <c r="E91" s="18" t="s">
        <v>42</v>
      </c>
      <c r="F91" s="21" t="s">
        <v>37</v>
      </c>
      <c r="G91" s="22" t="s">
        <v>920</v>
      </c>
      <c r="H91" s="22" t="s">
        <v>1051</v>
      </c>
      <c r="I91" s="22" t="s">
        <v>1052</v>
      </c>
      <c r="J91" s="18" t="s">
        <v>51</v>
      </c>
    </row>
    <row r="92" spans="1:10" ht="78.75" customHeight="1">
      <c r="A92" s="18" t="s">
        <v>1053</v>
      </c>
      <c r="B92" s="18" t="s">
        <v>118</v>
      </c>
      <c r="C92" s="19" t="s">
        <v>25</v>
      </c>
      <c r="D92" s="19" t="s">
        <v>1054</v>
      </c>
      <c r="E92" s="18" t="s">
        <v>42</v>
      </c>
      <c r="F92" s="18" t="s">
        <v>37</v>
      </c>
      <c r="G92" s="19" t="s">
        <v>920</v>
      </c>
      <c r="H92" s="19" t="s">
        <v>1055</v>
      </c>
      <c r="I92" s="19" t="s">
        <v>1056</v>
      </c>
      <c r="J92" s="18" t="s">
        <v>51</v>
      </c>
    </row>
    <row r="93" spans="1:10" ht="78.75" customHeight="1">
      <c r="A93" s="21" t="s">
        <v>1057</v>
      </c>
      <c r="B93" s="21" t="s">
        <v>118</v>
      </c>
      <c r="C93" s="22" t="s">
        <v>25</v>
      </c>
      <c r="D93" s="22" t="s">
        <v>1058</v>
      </c>
      <c r="E93" s="18" t="s">
        <v>42</v>
      </c>
      <c r="F93" s="21" t="s">
        <v>37</v>
      </c>
      <c r="G93" s="22" t="s">
        <v>920</v>
      </c>
      <c r="H93" s="22" t="s">
        <v>1059</v>
      </c>
      <c r="I93" s="22" t="s">
        <v>1060</v>
      </c>
      <c r="J93" s="18" t="s">
        <v>51</v>
      </c>
    </row>
    <row r="94" spans="1:10" ht="48.75" customHeight="1">
      <c r="A94" s="18" t="s">
        <v>1061</v>
      </c>
      <c r="B94" s="18" t="s">
        <v>118</v>
      </c>
      <c r="C94" s="19" t="s">
        <v>25</v>
      </c>
      <c r="D94" s="19" t="s">
        <v>1062</v>
      </c>
      <c r="E94" s="18" t="s">
        <v>46</v>
      </c>
      <c r="F94" s="18" t="s">
        <v>37</v>
      </c>
      <c r="G94" s="19" t="s">
        <v>823</v>
      </c>
      <c r="H94" s="19" t="s">
        <v>1063</v>
      </c>
      <c r="I94" s="19" t="s">
        <v>958</v>
      </c>
      <c r="J94" s="18" t="s">
        <v>51</v>
      </c>
    </row>
    <row r="95" spans="1:10" ht="48.75" customHeight="1">
      <c r="A95" s="21" t="s">
        <v>1064</v>
      </c>
      <c r="B95" s="21" t="s">
        <v>118</v>
      </c>
      <c r="C95" s="22" t="s">
        <v>25</v>
      </c>
      <c r="D95" s="22" t="s">
        <v>1065</v>
      </c>
      <c r="E95" s="18" t="s">
        <v>46</v>
      </c>
      <c r="F95" s="21" t="s">
        <v>37</v>
      </c>
      <c r="G95" s="22" t="s">
        <v>961</v>
      </c>
      <c r="H95" s="22" t="s">
        <v>1066</v>
      </c>
      <c r="I95" s="22" t="s">
        <v>958</v>
      </c>
      <c r="J95" s="18" t="s">
        <v>51</v>
      </c>
    </row>
    <row r="96" spans="1:10" ht="48.75" customHeight="1">
      <c r="A96" s="18" t="s">
        <v>1067</v>
      </c>
      <c r="B96" s="18" t="s">
        <v>118</v>
      </c>
      <c r="C96" s="19" t="s">
        <v>25</v>
      </c>
      <c r="D96" s="19" t="s">
        <v>1068</v>
      </c>
      <c r="E96" s="18" t="s">
        <v>46</v>
      </c>
      <c r="F96" s="18" t="s">
        <v>37</v>
      </c>
      <c r="G96" s="19" t="s">
        <v>828</v>
      </c>
      <c r="H96" s="19" t="s">
        <v>1069</v>
      </c>
      <c r="I96" s="19" t="s">
        <v>958</v>
      </c>
      <c r="J96" s="18" t="s">
        <v>51</v>
      </c>
    </row>
    <row r="97" spans="1:10" ht="78.75" customHeight="1">
      <c r="A97" s="21" t="s">
        <v>1070</v>
      </c>
      <c r="B97" s="21" t="s">
        <v>122</v>
      </c>
      <c r="C97" s="22" t="s">
        <v>25</v>
      </c>
      <c r="D97" s="22" t="s">
        <v>1071</v>
      </c>
      <c r="E97" s="18" t="s">
        <v>42</v>
      </c>
      <c r="F97" s="21" t="s">
        <v>37</v>
      </c>
      <c r="G97" s="22" t="s">
        <v>920</v>
      </c>
      <c r="H97" s="22" t="s">
        <v>1072</v>
      </c>
      <c r="I97" s="22" t="s">
        <v>1073</v>
      </c>
      <c r="J97" s="18" t="s">
        <v>51</v>
      </c>
    </row>
    <row r="98" spans="1:10" ht="78.75" customHeight="1">
      <c r="A98" s="18" t="s">
        <v>1074</v>
      </c>
      <c r="B98" s="18" t="s">
        <v>122</v>
      </c>
      <c r="C98" s="19" t="s">
        <v>25</v>
      </c>
      <c r="D98" s="19" t="s">
        <v>1075</v>
      </c>
      <c r="E98" s="18" t="s">
        <v>42</v>
      </c>
      <c r="F98" s="18" t="s">
        <v>37</v>
      </c>
      <c r="G98" s="19" t="s">
        <v>920</v>
      </c>
      <c r="H98" s="19" t="s">
        <v>1076</v>
      </c>
      <c r="I98" s="19" t="s">
        <v>1077</v>
      </c>
      <c r="J98" s="18" t="s">
        <v>51</v>
      </c>
    </row>
    <row r="99" spans="1:10" ht="78.75" customHeight="1">
      <c r="A99" s="21" t="s">
        <v>1078</v>
      </c>
      <c r="B99" s="21" t="s">
        <v>122</v>
      </c>
      <c r="C99" s="22" t="s">
        <v>25</v>
      </c>
      <c r="D99" s="22" t="s">
        <v>1079</v>
      </c>
      <c r="E99" s="18" t="s">
        <v>44</v>
      </c>
      <c r="F99" s="21" t="s">
        <v>37</v>
      </c>
      <c r="G99" s="22" t="s">
        <v>920</v>
      </c>
      <c r="H99" s="22" t="s">
        <v>1080</v>
      </c>
      <c r="I99" s="22" t="s">
        <v>1081</v>
      </c>
      <c r="J99" s="18" t="s">
        <v>51</v>
      </c>
    </row>
    <row r="100" spans="1:10" ht="78.75" customHeight="1">
      <c r="A100" s="18" t="s">
        <v>1082</v>
      </c>
      <c r="B100" s="18" t="s">
        <v>122</v>
      </c>
      <c r="C100" s="19" t="s">
        <v>25</v>
      </c>
      <c r="D100" s="19" t="s">
        <v>1083</v>
      </c>
      <c r="E100" s="18" t="s">
        <v>42</v>
      </c>
      <c r="F100" s="18" t="s">
        <v>37</v>
      </c>
      <c r="G100" s="19" t="s">
        <v>920</v>
      </c>
      <c r="H100" s="19" t="s">
        <v>1084</v>
      </c>
      <c r="I100" s="19" t="s">
        <v>1085</v>
      </c>
      <c r="J100" s="18" t="s">
        <v>51</v>
      </c>
    </row>
    <row r="101" spans="1:10" ht="48.75" customHeight="1">
      <c r="A101" s="21" t="s">
        <v>1086</v>
      </c>
      <c r="B101" s="21" t="s">
        <v>122</v>
      </c>
      <c r="C101" s="22" t="s">
        <v>25</v>
      </c>
      <c r="D101" s="22" t="s">
        <v>1087</v>
      </c>
      <c r="E101" s="18" t="s">
        <v>46</v>
      </c>
      <c r="F101" s="21" t="s">
        <v>37</v>
      </c>
      <c r="G101" s="22" t="s">
        <v>823</v>
      </c>
      <c r="H101" s="22" t="s">
        <v>1088</v>
      </c>
      <c r="I101" s="22" t="s">
        <v>958</v>
      </c>
      <c r="J101" s="18" t="s">
        <v>51</v>
      </c>
    </row>
    <row r="102" spans="1:10" ht="48.75" customHeight="1">
      <c r="A102" s="18" t="s">
        <v>1089</v>
      </c>
      <c r="B102" s="18" t="s">
        <v>122</v>
      </c>
      <c r="C102" s="19" t="s">
        <v>25</v>
      </c>
      <c r="D102" s="19" t="s">
        <v>1090</v>
      </c>
      <c r="E102" s="18" t="s">
        <v>46</v>
      </c>
      <c r="F102" s="18" t="s">
        <v>37</v>
      </c>
      <c r="G102" s="19" t="s">
        <v>961</v>
      </c>
      <c r="H102" s="19" t="s">
        <v>1091</v>
      </c>
      <c r="I102" s="19" t="s">
        <v>958</v>
      </c>
      <c r="J102" s="18" t="s">
        <v>51</v>
      </c>
    </row>
    <row r="103" spans="1:10" ht="48.75" customHeight="1">
      <c r="A103" s="21" t="s">
        <v>1092</v>
      </c>
      <c r="B103" s="21" t="s">
        <v>122</v>
      </c>
      <c r="C103" s="22" t="s">
        <v>25</v>
      </c>
      <c r="D103" s="22" t="s">
        <v>1093</v>
      </c>
      <c r="E103" s="18" t="s">
        <v>46</v>
      </c>
      <c r="F103" s="21" t="s">
        <v>37</v>
      </c>
      <c r="G103" s="22" t="s">
        <v>828</v>
      </c>
      <c r="H103" s="22" t="s">
        <v>1094</v>
      </c>
      <c r="I103" s="22" t="s">
        <v>958</v>
      </c>
      <c r="J103" s="18" t="s">
        <v>51</v>
      </c>
    </row>
    <row r="104" spans="1:10" ht="78.75" customHeight="1">
      <c r="A104" s="18" t="s">
        <v>1095</v>
      </c>
      <c r="B104" s="18" t="s">
        <v>127</v>
      </c>
      <c r="C104" s="19" t="s">
        <v>25</v>
      </c>
      <c r="D104" s="19" t="s">
        <v>1096</v>
      </c>
      <c r="E104" s="18" t="s">
        <v>42</v>
      </c>
      <c r="F104" s="18" t="s">
        <v>33</v>
      </c>
      <c r="G104" s="19" t="s">
        <v>920</v>
      </c>
      <c r="H104" s="19" t="s">
        <v>1097</v>
      </c>
      <c r="I104" s="19" t="s">
        <v>1098</v>
      </c>
      <c r="J104" s="18" t="s">
        <v>51</v>
      </c>
    </row>
    <row r="105" spans="1:10" ht="78.75" customHeight="1">
      <c r="A105" s="21" t="s">
        <v>1099</v>
      </c>
      <c r="B105" s="21" t="s">
        <v>127</v>
      </c>
      <c r="C105" s="22" t="s">
        <v>25</v>
      </c>
      <c r="D105" s="22" t="s">
        <v>1100</v>
      </c>
      <c r="E105" s="18" t="s">
        <v>42</v>
      </c>
      <c r="F105" s="21" t="s">
        <v>33</v>
      </c>
      <c r="G105" s="22" t="s">
        <v>920</v>
      </c>
      <c r="H105" s="22" t="s">
        <v>1101</v>
      </c>
      <c r="I105" s="22" t="s">
        <v>1102</v>
      </c>
      <c r="J105" s="18" t="s">
        <v>51</v>
      </c>
    </row>
    <row r="106" spans="1:10" ht="78.75" customHeight="1">
      <c r="A106" s="18" t="s">
        <v>1103</v>
      </c>
      <c r="B106" s="18" t="s">
        <v>127</v>
      </c>
      <c r="C106" s="19" t="s">
        <v>25</v>
      </c>
      <c r="D106" s="19" t="s">
        <v>1104</v>
      </c>
      <c r="E106" s="18" t="s">
        <v>42</v>
      </c>
      <c r="F106" s="18" t="s">
        <v>33</v>
      </c>
      <c r="G106" s="19" t="s">
        <v>920</v>
      </c>
      <c r="H106" s="19" t="s">
        <v>1105</v>
      </c>
      <c r="I106" s="19" t="s">
        <v>1106</v>
      </c>
      <c r="J106" s="18" t="s">
        <v>51</v>
      </c>
    </row>
    <row r="107" spans="1:10" ht="78.75" customHeight="1">
      <c r="A107" s="21" t="s">
        <v>1107</v>
      </c>
      <c r="B107" s="21" t="s">
        <v>127</v>
      </c>
      <c r="C107" s="22" t="s">
        <v>25</v>
      </c>
      <c r="D107" s="22" t="s">
        <v>1108</v>
      </c>
      <c r="E107" s="18" t="s">
        <v>42</v>
      </c>
      <c r="F107" s="21" t="s">
        <v>33</v>
      </c>
      <c r="G107" s="22" t="s">
        <v>920</v>
      </c>
      <c r="H107" s="22" t="s">
        <v>1109</v>
      </c>
      <c r="I107" s="22" t="s">
        <v>1110</v>
      </c>
      <c r="J107" s="18" t="s">
        <v>51</v>
      </c>
    </row>
    <row r="108" spans="1:10" ht="48.75" customHeight="1">
      <c r="A108" s="18" t="s">
        <v>1111</v>
      </c>
      <c r="B108" s="18" t="s">
        <v>127</v>
      </c>
      <c r="C108" s="19" t="s">
        <v>25</v>
      </c>
      <c r="D108" s="19" t="s">
        <v>1112</v>
      </c>
      <c r="E108" s="18" t="s">
        <v>46</v>
      </c>
      <c r="F108" s="18" t="s">
        <v>33</v>
      </c>
      <c r="G108" s="19" t="s">
        <v>823</v>
      </c>
      <c r="H108" s="19" t="s">
        <v>1113</v>
      </c>
      <c r="I108" s="19" t="s">
        <v>958</v>
      </c>
      <c r="J108" s="18" t="s">
        <v>51</v>
      </c>
    </row>
    <row r="109" spans="1:10" ht="48.75" customHeight="1">
      <c r="A109" s="21" t="s">
        <v>1114</v>
      </c>
      <c r="B109" s="21" t="s">
        <v>127</v>
      </c>
      <c r="C109" s="22" t="s">
        <v>25</v>
      </c>
      <c r="D109" s="22" t="s">
        <v>1115</v>
      </c>
      <c r="E109" s="18" t="s">
        <v>46</v>
      </c>
      <c r="F109" s="21" t="s">
        <v>33</v>
      </c>
      <c r="G109" s="22" t="s">
        <v>961</v>
      </c>
      <c r="H109" s="22" t="s">
        <v>1116</v>
      </c>
      <c r="I109" s="22" t="s">
        <v>958</v>
      </c>
      <c r="J109" s="18" t="s">
        <v>51</v>
      </c>
    </row>
    <row r="110" spans="1:10" ht="48.75" customHeight="1">
      <c r="A110" s="18" t="s">
        <v>1117</v>
      </c>
      <c r="B110" s="18" t="s">
        <v>127</v>
      </c>
      <c r="C110" s="19" t="s">
        <v>25</v>
      </c>
      <c r="D110" s="19" t="s">
        <v>1118</v>
      </c>
      <c r="E110" s="18" t="s">
        <v>46</v>
      </c>
      <c r="F110" s="18" t="s">
        <v>33</v>
      </c>
      <c r="G110" s="19" t="s">
        <v>828</v>
      </c>
      <c r="H110" s="19" t="s">
        <v>1119</v>
      </c>
      <c r="I110" s="19" t="s">
        <v>958</v>
      </c>
      <c r="J110" s="18" t="s">
        <v>51</v>
      </c>
    </row>
    <row r="111" spans="1:10" ht="93.75" customHeight="1">
      <c r="A111" s="21" t="s">
        <v>1120</v>
      </c>
      <c r="B111" s="21" t="s">
        <v>127</v>
      </c>
      <c r="C111" s="22" t="s">
        <v>25</v>
      </c>
      <c r="D111" s="22" t="s">
        <v>1121</v>
      </c>
      <c r="E111" s="18" t="s">
        <v>44</v>
      </c>
      <c r="F111" s="21" t="s">
        <v>33</v>
      </c>
      <c r="G111" s="22" t="s">
        <v>920</v>
      </c>
      <c r="H111" s="22" t="s">
        <v>1122</v>
      </c>
      <c r="I111" s="22" t="s">
        <v>833</v>
      </c>
      <c r="J111" s="18" t="s">
        <v>51</v>
      </c>
    </row>
    <row r="112" spans="1:10" ht="78.75" customHeight="1">
      <c r="A112" s="18" t="s">
        <v>1123</v>
      </c>
      <c r="B112" s="18" t="s">
        <v>131</v>
      </c>
      <c r="C112" s="19" t="s">
        <v>25</v>
      </c>
      <c r="D112" s="19" t="s">
        <v>1124</v>
      </c>
      <c r="E112" s="18" t="s">
        <v>42</v>
      </c>
      <c r="F112" s="18" t="s">
        <v>33</v>
      </c>
      <c r="G112" s="19" t="s">
        <v>920</v>
      </c>
      <c r="H112" s="19" t="s">
        <v>1125</v>
      </c>
      <c r="I112" s="19" t="s">
        <v>1126</v>
      </c>
      <c r="J112" s="18" t="s">
        <v>51</v>
      </c>
    </row>
    <row r="113" spans="1:10" ht="78.75" customHeight="1">
      <c r="A113" s="21" t="s">
        <v>1127</v>
      </c>
      <c r="B113" s="21" t="s">
        <v>131</v>
      </c>
      <c r="C113" s="22" t="s">
        <v>25</v>
      </c>
      <c r="D113" s="22" t="s">
        <v>1128</v>
      </c>
      <c r="E113" s="18" t="s">
        <v>44</v>
      </c>
      <c r="F113" s="21" t="s">
        <v>33</v>
      </c>
      <c r="G113" s="22" t="s">
        <v>920</v>
      </c>
      <c r="H113" s="22" t="s">
        <v>925</v>
      </c>
      <c r="I113" s="22" t="s">
        <v>926</v>
      </c>
      <c r="J113" s="18" t="s">
        <v>51</v>
      </c>
    </row>
    <row r="114" spans="1:10" ht="78.75" customHeight="1">
      <c r="A114" s="18" t="s">
        <v>1129</v>
      </c>
      <c r="B114" s="18" t="s">
        <v>131</v>
      </c>
      <c r="C114" s="19" t="s">
        <v>25</v>
      </c>
      <c r="D114" s="19" t="s">
        <v>1130</v>
      </c>
      <c r="E114" s="18" t="s">
        <v>42</v>
      </c>
      <c r="F114" s="18" t="s">
        <v>33</v>
      </c>
      <c r="G114" s="19" t="s">
        <v>920</v>
      </c>
      <c r="H114" s="19" t="s">
        <v>1131</v>
      </c>
      <c r="I114" s="19" t="s">
        <v>1132</v>
      </c>
      <c r="J114" s="18" t="s">
        <v>51</v>
      </c>
    </row>
    <row r="115" spans="1:10" ht="78.75" customHeight="1">
      <c r="A115" s="21" t="s">
        <v>1133</v>
      </c>
      <c r="B115" s="21" t="s">
        <v>131</v>
      </c>
      <c r="C115" s="22" t="s">
        <v>25</v>
      </c>
      <c r="D115" s="22" t="s">
        <v>1134</v>
      </c>
      <c r="E115" s="18" t="s">
        <v>42</v>
      </c>
      <c r="F115" s="21" t="s">
        <v>33</v>
      </c>
      <c r="G115" s="22" t="s">
        <v>920</v>
      </c>
      <c r="H115" s="22" t="s">
        <v>1135</v>
      </c>
      <c r="I115" s="22" t="s">
        <v>1136</v>
      </c>
      <c r="J115" s="18" t="s">
        <v>51</v>
      </c>
    </row>
    <row r="116" spans="1:10" ht="48.75" customHeight="1">
      <c r="A116" s="18" t="s">
        <v>1137</v>
      </c>
      <c r="B116" s="18" t="s">
        <v>131</v>
      </c>
      <c r="C116" s="19" t="s">
        <v>25</v>
      </c>
      <c r="D116" s="19" t="s">
        <v>1138</v>
      </c>
      <c r="E116" s="18" t="s">
        <v>46</v>
      </c>
      <c r="F116" s="18" t="s">
        <v>33</v>
      </c>
      <c r="G116" s="19" t="s">
        <v>823</v>
      </c>
      <c r="H116" s="19" t="s">
        <v>1139</v>
      </c>
      <c r="I116" s="19" t="s">
        <v>958</v>
      </c>
      <c r="J116" s="18" t="s">
        <v>51</v>
      </c>
    </row>
    <row r="117" spans="1:10" ht="48.75" customHeight="1">
      <c r="A117" s="21" t="s">
        <v>1140</v>
      </c>
      <c r="B117" s="21" t="s">
        <v>131</v>
      </c>
      <c r="C117" s="22" t="s">
        <v>25</v>
      </c>
      <c r="D117" s="22" t="s">
        <v>1141</v>
      </c>
      <c r="E117" s="18" t="s">
        <v>46</v>
      </c>
      <c r="F117" s="21" t="s">
        <v>33</v>
      </c>
      <c r="G117" s="22" t="s">
        <v>961</v>
      </c>
      <c r="H117" s="22" t="s">
        <v>1142</v>
      </c>
      <c r="I117" s="22" t="s">
        <v>958</v>
      </c>
      <c r="J117" s="18" t="s">
        <v>51</v>
      </c>
    </row>
    <row r="118" spans="1:10" ht="48.75" customHeight="1">
      <c r="A118" s="18" t="s">
        <v>1143</v>
      </c>
      <c r="B118" s="18" t="s">
        <v>131</v>
      </c>
      <c r="C118" s="19" t="s">
        <v>25</v>
      </c>
      <c r="D118" s="19" t="s">
        <v>1144</v>
      </c>
      <c r="E118" s="18" t="s">
        <v>46</v>
      </c>
      <c r="F118" s="18" t="s">
        <v>33</v>
      </c>
      <c r="G118" s="19" t="s">
        <v>828</v>
      </c>
      <c r="H118" s="19" t="s">
        <v>1145</v>
      </c>
      <c r="I118" s="19" t="s">
        <v>958</v>
      </c>
      <c r="J118" s="18" t="s">
        <v>51</v>
      </c>
    </row>
    <row r="119" spans="1:10" ht="78.75" customHeight="1">
      <c r="A119" s="21" t="s">
        <v>1146</v>
      </c>
      <c r="B119" s="21" t="s">
        <v>136</v>
      </c>
      <c r="C119" s="22" t="s">
        <v>25</v>
      </c>
      <c r="D119" s="22" t="s">
        <v>1147</v>
      </c>
      <c r="E119" s="18" t="s">
        <v>42</v>
      </c>
      <c r="F119" s="21" t="s">
        <v>33</v>
      </c>
      <c r="G119" s="22" t="s">
        <v>920</v>
      </c>
      <c r="H119" s="22" t="s">
        <v>1148</v>
      </c>
      <c r="I119" s="22" t="s">
        <v>1149</v>
      </c>
      <c r="J119" s="18" t="s">
        <v>51</v>
      </c>
    </row>
    <row r="120" spans="1:10" ht="93.75" customHeight="1">
      <c r="A120" s="18" t="s">
        <v>1150</v>
      </c>
      <c r="B120" s="18" t="s">
        <v>136</v>
      </c>
      <c r="C120" s="19" t="s">
        <v>25</v>
      </c>
      <c r="D120" s="19" t="s">
        <v>1151</v>
      </c>
      <c r="E120" s="18" t="s">
        <v>42</v>
      </c>
      <c r="F120" s="18" t="s">
        <v>33</v>
      </c>
      <c r="G120" s="19" t="s">
        <v>920</v>
      </c>
      <c r="H120" s="19" t="s">
        <v>1152</v>
      </c>
      <c r="I120" s="19" t="s">
        <v>1153</v>
      </c>
      <c r="J120" s="18" t="s">
        <v>51</v>
      </c>
    </row>
    <row r="121" spans="1:10" ht="93.75" customHeight="1">
      <c r="A121" s="21" t="s">
        <v>1154</v>
      </c>
      <c r="B121" s="21" t="s">
        <v>136</v>
      </c>
      <c r="C121" s="22" t="s">
        <v>25</v>
      </c>
      <c r="D121" s="22" t="s">
        <v>1155</v>
      </c>
      <c r="E121" s="18" t="s">
        <v>42</v>
      </c>
      <c r="F121" s="21" t="s">
        <v>33</v>
      </c>
      <c r="G121" s="22" t="s">
        <v>920</v>
      </c>
      <c r="H121" s="22" t="s">
        <v>1156</v>
      </c>
      <c r="I121" s="22" t="s">
        <v>1157</v>
      </c>
      <c r="J121" s="18" t="s">
        <v>51</v>
      </c>
    </row>
    <row r="122" spans="1:10" ht="78.75" customHeight="1">
      <c r="A122" s="18" t="s">
        <v>1158</v>
      </c>
      <c r="B122" s="18" t="s">
        <v>136</v>
      </c>
      <c r="C122" s="19" t="s">
        <v>25</v>
      </c>
      <c r="D122" s="19" t="s">
        <v>1159</v>
      </c>
      <c r="E122" s="18" t="s">
        <v>44</v>
      </c>
      <c r="F122" s="18" t="s">
        <v>33</v>
      </c>
      <c r="G122" s="19" t="s">
        <v>920</v>
      </c>
      <c r="H122" s="19" t="s">
        <v>1160</v>
      </c>
      <c r="I122" s="19" t="s">
        <v>1161</v>
      </c>
      <c r="J122" s="18" t="s">
        <v>51</v>
      </c>
    </row>
    <row r="123" spans="1:10" ht="93.75" customHeight="1">
      <c r="A123" s="21" t="s">
        <v>1162</v>
      </c>
      <c r="B123" s="21" t="s">
        <v>136</v>
      </c>
      <c r="C123" s="22" t="s">
        <v>25</v>
      </c>
      <c r="D123" s="22" t="s">
        <v>1163</v>
      </c>
      <c r="E123" s="18" t="s">
        <v>44</v>
      </c>
      <c r="F123" s="21" t="s">
        <v>33</v>
      </c>
      <c r="G123" s="22" t="s">
        <v>920</v>
      </c>
      <c r="H123" s="22" t="s">
        <v>1164</v>
      </c>
      <c r="I123" s="22" t="s">
        <v>1165</v>
      </c>
      <c r="J123" s="18" t="s">
        <v>51</v>
      </c>
    </row>
    <row r="124" spans="1:10" ht="78.75" customHeight="1">
      <c r="A124" s="18" t="s">
        <v>1166</v>
      </c>
      <c r="B124" s="18" t="s">
        <v>136</v>
      </c>
      <c r="C124" s="19" t="s">
        <v>25</v>
      </c>
      <c r="D124" s="19" t="s">
        <v>1167</v>
      </c>
      <c r="E124" s="18" t="s">
        <v>42</v>
      </c>
      <c r="F124" s="18" t="s">
        <v>33</v>
      </c>
      <c r="G124" s="19" t="s">
        <v>920</v>
      </c>
      <c r="H124" s="19" t="s">
        <v>1168</v>
      </c>
      <c r="I124" s="19" t="s">
        <v>808</v>
      </c>
      <c r="J124" s="18" t="s">
        <v>51</v>
      </c>
    </row>
    <row r="125" spans="1:10" ht="63.75" customHeight="1">
      <c r="A125" s="21" t="s">
        <v>1169</v>
      </c>
      <c r="B125" s="21" t="s">
        <v>136</v>
      </c>
      <c r="C125" s="22" t="s">
        <v>25</v>
      </c>
      <c r="D125" s="22" t="s">
        <v>1170</v>
      </c>
      <c r="E125" s="18" t="s">
        <v>46</v>
      </c>
      <c r="F125" s="21" t="s">
        <v>33</v>
      </c>
      <c r="G125" s="22" t="s">
        <v>920</v>
      </c>
      <c r="H125" s="22" t="s">
        <v>1171</v>
      </c>
      <c r="I125" s="22" t="s">
        <v>812</v>
      </c>
      <c r="J125" s="18" t="s">
        <v>51</v>
      </c>
    </row>
    <row r="126" spans="1:10" ht="93.75" customHeight="1">
      <c r="A126" s="18" t="s">
        <v>1172</v>
      </c>
      <c r="B126" s="18" t="s">
        <v>136</v>
      </c>
      <c r="C126" s="19" t="s">
        <v>25</v>
      </c>
      <c r="D126" s="19" t="s">
        <v>1173</v>
      </c>
      <c r="E126" s="18" t="s">
        <v>44</v>
      </c>
      <c r="F126" s="18" t="s">
        <v>33</v>
      </c>
      <c r="G126" s="19" t="s">
        <v>920</v>
      </c>
      <c r="H126" s="19" t="s">
        <v>1174</v>
      </c>
      <c r="I126" s="19" t="s">
        <v>816</v>
      </c>
      <c r="J126" s="18" t="s">
        <v>51</v>
      </c>
    </row>
    <row r="127" spans="1:10" ht="93.75" customHeight="1">
      <c r="A127" s="21" t="s">
        <v>1175</v>
      </c>
      <c r="B127" s="21" t="s">
        <v>136</v>
      </c>
      <c r="C127" s="22" t="s">
        <v>25</v>
      </c>
      <c r="D127" s="22" t="s">
        <v>1176</v>
      </c>
      <c r="E127" s="18" t="s">
        <v>44</v>
      </c>
      <c r="F127" s="21" t="s">
        <v>33</v>
      </c>
      <c r="G127" s="22" t="s">
        <v>920</v>
      </c>
      <c r="H127" s="22" t="s">
        <v>1177</v>
      </c>
      <c r="I127" s="22" t="s">
        <v>820</v>
      </c>
      <c r="J127" s="18" t="s">
        <v>51</v>
      </c>
    </row>
    <row r="128" spans="1:10" ht="48.75" customHeight="1">
      <c r="A128" s="18" t="s">
        <v>1178</v>
      </c>
      <c r="B128" s="18" t="s">
        <v>136</v>
      </c>
      <c r="C128" s="19" t="s">
        <v>25</v>
      </c>
      <c r="D128" s="19" t="s">
        <v>1179</v>
      </c>
      <c r="E128" s="18" t="s">
        <v>46</v>
      </c>
      <c r="F128" s="18" t="s">
        <v>33</v>
      </c>
      <c r="G128" s="19" t="s">
        <v>823</v>
      </c>
      <c r="H128" s="19" t="s">
        <v>1180</v>
      </c>
      <c r="I128" s="19" t="s">
        <v>958</v>
      </c>
      <c r="J128" s="18" t="s">
        <v>51</v>
      </c>
    </row>
    <row r="129" spans="1:10" ht="48.75" customHeight="1">
      <c r="A129" s="21" t="s">
        <v>1181</v>
      </c>
      <c r="B129" s="21" t="s">
        <v>136</v>
      </c>
      <c r="C129" s="22" t="s">
        <v>25</v>
      </c>
      <c r="D129" s="22" t="s">
        <v>1182</v>
      </c>
      <c r="E129" s="18" t="s">
        <v>46</v>
      </c>
      <c r="F129" s="21" t="s">
        <v>33</v>
      </c>
      <c r="G129" s="22" t="s">
        <v>961</v>
      </c>
      <c r="H129" s="22" t="s">
        <v>1183</v>
      </c>
      <c r="I129" s="22" t="s">
        <v>958</v>
      </c>
      <c r="J129" s="18" t="s">
        <v>51</v>
      </c>
    </row>
    <row r="130" spans="1:10" ht="48.75" customHeight="1">
      <c r="A130" s="18" t="s">
        <v>1184</v>
      </c>
      <c r="B130" s="18" t="s">
        <v>136</v>
      </c>
      <c r="C130" s="19" t="s">
        <v>25</v>
      </c>
      <c r="D130" s="19" t="s">
        <v>1185</v>
      </c>
      <c r="E130" s="18" t="s">
        <v>46</v>
      </c>
      <c r="F130" s="18" t="s">
        <v>33</v>
      </c>
      <c r="G130" s="19" t="s">
        <v>828</v>
      </c>
      <c r="H130" s="19" t="s">
        <v>1186</v>
      </c>
      <c r="I130" s="19" t="s">
        <v>958</v>
      </c>
      <c r="J130" s="18" t="s">
        <v>51</v>
      </c>
    </row>
    <row r="131" spans="1:10" ht="63.75" customHeight="1">
      <c r="A131" s="21" t="s">
        <v>1187</v>
      </c>
      <c r="B131" s="21" t="s">
        <v>141</v>
      </c>
      <c r="C131" s="22" t="s">
        <v>25</v>
      </c>
      <c r="D131" s="22" t="s">
        <v>1188</v>
      </c>
      <c r="E131" s="18" t="s">
        <v>42</v>
      </c>
      <c r="F131" s="21" t="s">
        <v>33</v>
      </c>
      <c r="G131" s="22" t="s">
        <v>1189</v>
      </c>
      <c r="H131" s="22" t="s">
        <v>1190</v>
      </c>
      <c r="I131" s="22" t="s">
        <v>716</v>
      </c>
      <c r="J131" s="18" t="s">
        <v>51</v>
      </c>
    </row>
    <row r="132" spans="1:10" ht="78.75" customHeight="1">
      <c r="A132" s="18" t="s">
        <v>1191</v>
      </c>
      <c r="B132" s="18" t="s">
        <v>141</v>
      </c>
      <c r="C132" s="19" t="s">
        <v>25</v>
      </c>
      <c r="D132" s="19" t="s">
        <v>1192</v>
      </c>
      <c r="E132" s="18" t="s">
        <v>42</v>
      </c>
      <c r="F132" s="18" t="s">
        <v>33</v>
      </c>
      <c r="G132" s="19" t="s">
        <v>1189</v>
      </c>
      <c r="H132" s="19" t="s">
        <v>1193</v>
      </c>
      <c r="I132" s="19" t="s">
        <v>1194</v>
      </c>
      <c r="J132" s="18" t="s">
        <v>51</v>
      </c>
    </row>
    <row r="133" spans="1:10" ht="78.75" customHeight="1">
      <c r="A133" s="21" t="s">
        <v>1195</v>
      </c>
      <c r="B133" s="21" t="s">
        <v>141</v>
      </c>
      <c r="C133" s="22" t="s">
        <v>25</v>
      </c>
      <c r="D133" s="22" t="s">
        <v>1196</v>
      </c>
      <c r="E133" s="18" t="s">
        <v>42</v>
      </c>
      <c r="F133" s="21" t="s">
        <v>33</v>
      </c>
      <c r="G133" s="22" t="s">
        <v>1189</v>
      </c>
      <c r="H133" s="22" t="s">
        <v>1197</v>
      </c>
      <c r="I133" s="22" t="s">
        <v>1198</v>
      </c>
      <c r="J133" s="18" t="s">
        <v>51</v>
      </c>
    </row>
    <row r="134" spans="1:10" ht="78.75" customHeight="1">
      <c r="A134" s="18" t="s">
        <v>1199</v>
      </c>
      <c r="B134" s="18" t="s">
        <v>141</v>
      </c>
      <c r="C134" s="19" t="s">
        <v>25</v>
      </c>
      <c r="D134" s="19" t="s">
        <v>1200</v>
      </c>
      <c r="E134" s="18" t="s">
        <v>42</v>
      </c>
      <c r="F134" s="18" t="s">
        <v>33</v>
      </c>
      <c r="G134" s="19" t="s">
        <v>1189</v>
      </c>
      <c r="H134" s="19" t="s">
        <v>1201</v>
      </c>
      <c r="I134" s="19" t="s">
        <v>1202</v>
      </c>
      <c r="J134" s="18" t="s">
        <v>51</v>
      </c>
    </row>
    <row r="135" spans="1:10" ht="78.75" customHeight="1">
      <c r="A135" s="21" t="s">
        <v>1203</v>
      </c>
      <c r="B135" s="21" t="s">
        <v>141</v>
      </c>
      <c r="C135" s="22" t="s">
        <v>25</v>
      </c>
      <c r="D135" s="22" t="s">
        <v>1204</v>
      </c>
      <c r="E135" s="18" t="s">
        <v>42</v>
      </c>
      <c r="F135" s="21" t="s">
        <v>33</v>
      </c>
      <c r="G135" s="22" t="s">
        <v>1189</v>
      </c>
      <c r="H135" s="22" t="s">
        <v>1205</v>
      </c>
      <c r="I135" s="22" t="s">
        <v>1206</v>
      </c>
      <c r="J135" s="18" t="s">
        <v>51</v>
      </c>
    </row>
    <row r="136" spans="1:10" ht="78.75" customHeight="1">
      <c r="A136" s="18" t="s">
        <v>1207</v>
      </c>
      <c r="B136" s="18" t="s">
        <v>141</v>
      </c>
      <c r="C136" s="19" t="s">
        <v>25</v>
      </c>
      <c r="D136" s="19" t="s">
        <v>1208</v>
      </c>
      <c r="E136" s="18" t="s">
        <v>42</v>
      </c>
      <c r="F136" s="18" t="s">
        <v>33</v>
      </c>
      <c r="G136" s="19" t="s">
        <v>1189</v>
      </c>
      <c r="H136" s="19" t="s">
        <v>1209</v>
      </c>
      <c r="I136" s="19" t="s">
        <v>1210</v>
      </c>
      <c r="J136" s="18" t="s">
        <v>51</v>
      </c>
    </row>
    <row r="137" spans="1:10" ht="78.75" customHeight="1">
      <c r="A137" s="21" t="s">
        <v>1211</v>
      </c>
      <c r="B137" s="21" t="s">
        <v>141</v>
      </c>
      <c r="C137" s="22" t="s">
        <v>25</v>
      </c>
      <c r="D137" s="22" t="s">
        <v>1212</v>
      </c>
      <c r="E137" s="18" t="s">
        <v>42</v>
      </c>
      <c r="F137" s="21" t="s">
        <v>33</v>
      </c>
      <c r="G137" s="22" t="s">
        <v>1189</v>
      </c>
      <c r="H137" s="22" t="s">
        <v>1213</v>
      </c>
      <c r="I137" s="22" t="s">
        <v>1214</v>
      </c>
      <c r="J137" s="18" t="s">
        <v>51</v>
      </c>
    </row>
    <row r="138" spans="1:10" ht="78.75" customHeight="1">
      <c r="A138" s="18" t="s">
        <v>1215</v>
      </c>
      <c r="B138" s="18" t="s">
        <v>141</v>
      </c>
      <c r="C138" s="19" t="s">
        <v>25</v>
      </c>
      <c r="D138" s="19" t="s">
        <v>1216</v>
      </c>
      <c r="E138" s="18" t="s">
        <v>42</v>
      </c>
      <c r="F138" s="18" t="s">
        <v>33</v>
      </c>
      <c r="G138" s="19" t="s">
        <v>1189</v>
      </c>
      <c r="H138" s="19" t="s">
        <v>1217</v>
      </c>
      <c r="I138" s="19" t="s">
        <v>1218</v>
      </c>
      <c r="J138" s="18" t="s">
        <v>51</v>
      </c>
    </row>
    <row r="139" spans="1:10" ht="123.75" customHeight="1">
      <c r="A139" s="21" t="s">
        <v>1219</v>
      </c>
      <c r="B139" s="21" t="s">
        <v>141</v>
      </c>
      <c r="C139" s="22" t="s">
        <v>25</v>
      </c>
      <c r="D139" s="22" t="s">
        <v>1220</v>
      </c>
      <c r="E139" s="18" t="s">
        <v>48</v>
      </c>
      <c r="F139" s="21" t="s">
        <v>33</v>
      </c>
      <c r="G139" s="22" t="s">
        <v>1189</v>
      </c>
      <c r="H139" s="22" t="s">
        <v>1221</v>
      </c>
      <c r="I139" s="22" t="s">
        <v>1222</v>
      </c>
      <c r="J139" s="18" t="s">
        <v>51</v>
      </c>
    </row>
    <row r="140" spans="1:10" ht="93.75" customHeight="1">
      <c r="A140" s="18" t="s">
        <v>1223</v>
      </c>
      <c r="B140" s="18" t="s">
        <v>141</v>
      </c>
      <c r="C140" s="19" t="s">
        <v>25</v>
      </c>
      <c r="D140" s="19" t="s">
        <v>1224</v>
      </c>
      <c r="E140" s="18" t="s">
        <v>44</v>
      </c>
      <c r="F140" s="18" t="s">
        <v>33</v>
      </c>
      <c r="G140" s="19" t="s">
        <v>1189</v>
      </c>
      <c r="H140" s="19" t="s">
        <v>1225</v>
      </c>
      <c r="I140" s="19" t="s">
        <v>1226</v>
      </c>
      <c r="J140" s="18" t="s">
        <v>51</v>
      </c>
    </row>
    <row r="141" spans="1:10" ht="63.75" customHeight="1">
      <c r="A141" s="21" t="s">
        <v>1227</v>
      </c>
      <c r="B141" s="21" t="s">
        <v>141</v>
      </c>
      <c r="C141" s="22" t="s">
        <v>25</v>
      </c>
      <c r="D141" s="22" t="s">
        <v>1228</v>
      </c>
      <c r="E141" s="18" t="s">
        <v>44</v>
      </c>
      <c r="F141" s="21" t="s">
        <v>33</v>
      </c>
      <c r="G141" s="22" t="s">
        <v>1189</v>
      </c>
      <c r="H141" s="22" t="s">
        <v>1229</v>
      </c>
      <c r="I141" s="22" t="s">
        <v>1230</v>
      </c>
      <c r="J141" s="18" t="s">
        <v>51</v>
      </c>
    </row>
    <row r="142" spans="1:10" ht="63.75" customHeight="1">
      <c r="A142" s="18" t="s">
        <v>1231</v>
      </c>
      <c r="B142" s="18" t="s">
        <v>141</v>
      </c>
      <c r="C142" s="19" t="s">
        <v>25</v>
      </c>
      <c r="D142" s="19" t="s">
        <v>1232</v>
      </c>
      <c r="E142" s="18" t="s">
        <v>44</v>
      </c>
      <c r="F142" s="18" t="s">
        <v>33</v>
      </c>
      <c r="G142" s="19" t="s">
        <v>1189</v>
      </c>
      <c r="H142" s="19" t="s">
        <v>1233</v>
      </c>
      <c r="I142" s="19" t="s">
        <v>1234</v>
      </c>
      <c r="J142" s="18" t="s">
        <v>51</v>
      </c>
    </row>
    <row r="143" spans="1:10" ht="78.75" customHeight="1">
      <c r="A143" s="21" t="s">
        <v>1235</v>
      </c>
      <c r="B143" s="21" t="s">
        <v>141</v>
      </c>
      <c r="C143" s="22" t="s">
        <v>25</v>
      </c>
      <c r="D143" s="22" t="s">
        <v>1236</v>
      </c>
      <c r="E143" s="18" t="s">
        <v>44</v>
      </c>
      <c r="F143" s="21" t="s">
        <v>33</v>
      </c>
      <c r="G143" s="22" t="s">
        <v>1189</v>
      </c>
      <c r="H143" s="22" t="s">
        <v>1237</v>
      </c>
      <c r="I143" s="22" t="s">
        <v>1238</v>
      </c>
      <c r="J143" s="18" t="s">
        <v>51</v>
      </c>
    </row>
    <row r="144" spans="1:10" ht="63.75" customHeight="1">
      <c r="A144" s="18" t="s">
        <v>1239</v>
      </c>
      <c r="B144" s="18" t="s">
        <v>141</v>
      </c>
      <c r="C144" s="19" t="s">
        <v>25</v>
      </c>
      <c r="D144" s="19" t="s">
        <v>1240</v>
      </c>
      <c r="E144" s="18" t="s">
        <v>44</v>
      </c>
      <c r="F144" s="18" t="s">
        <v>33</v>
      </c>
      <c r="G144" s="19" t="s">
        <v>1189</v>
      </c>
      <c r="H144" s="19" t="s">
        <v>1241</v>
      </c>
      <c r="I144" s="19" t="s">
        <v>1242</v>
      </c>
      <c r="J144" s="18" t="s">
        <v>51</v>
      </c>
    </row>
    <row r="145" spans="1:10" ht="63.75" customHeight="1">
      <c r="A145" s="21" t="s">
        <v>1243</v>
      </c>
      <c r="B145" s="21" t="s">
        <v>141</v>
      </c>
      <c r="C145" s="22" t="s">
        <v>25</v>
      </c>
      <c r="D145" s="22" t="s">
        <v>1244</v>
      </c>
      <c r="E145" s="18" t="s">
        <v>44</v>
      </c>
      <c r="F145" s="21" t="s">
        <v>33</v>
      </c>
      <c r="G145" s="22" t="s">
        <v>1189</v>
      </c>
      <c r="H145" s="22" t="s">
        <v>1245</v>
      </c>
      <c r="I145" s="22" t="s">
        <v>1246</v>
      </c>
      <c r="J145" s="18" t="s">
        <v>51</v>
      </c>
    </row>
    <row r="146" spans="1:10" ht="63.75" customHeight="1">
      <c r="A146" s="18" t="s">
        <v>1247</v>
      </c>
      <c r="B146" s="18" t="s">
        <v>141</v>
      </c>
      <c r="C146" s="19" t="s">
        <v>25</v>
      </c>
      <c r="D146" s="19" t="s">
        <v>1248</v>
      </c>
      <c r="E146" s="18" t="s">
        <v>44</v>
      </c>
      <c r="F146" s="18" t="s">
        <v>33</v>
      </c>
      <c r="G146" s="19" t="s">
        <v>1189</v>
      </c>
      <c r="H146" s="19" t="s">
        <v>1249</v>
      </c>
      <c r="I146" s="19" t="s">
        <v>1250</v>
      </c>
      <c r="J146" s="18" t="s">
        <v>51</v>
      </c>
    </row>
    <row r="147" spans="1:10" ht="78.75" customHeight="1">
      <c r="A147" s="21" t="s">
        <v>1251</v>
      </c>
      <c r="B147" s="21" t="s">
        <v>141</v>
      </c>
      <c r="C147" s="22" t="s">
        <v>25</v>
      </c>
      <c r="D147" s="22" t="s">
        <v>1252</v>
      </c>
      <c r="E147" s="18" t="s">
        <v>42</v>
      </c>
      <c r="F147" s="21" t="s">
        <v>33</v>
      </c>
      <c r="G147" s="22" t="s">
        <v>1189</v>
      </c>
      <c r="H147" s="22" t="s">
        <v>1253</v>
      </c>
      <c r="I147" s="22" t="s">
        <v>808</v>
      </c>
      <c r="J147" s="18" t="s">
        <v>51</v>
      </c>
    </row>
    <row r="148" spans="1:10" ht="48.75" customHeight="1">
      <c r="A148" s="18" t="s">
        <v>1254</v>
      </c>
      <c r="B148" s="18" t="s">
        <v>141</v>
      </c>
      <c r="C148" s="19" t="s">
        <v>25</v>
      </c>
      <c r="D148" s="19" t="s">
        <v>1255</v>
      </c>
      <c r="E148" s="18" t="s">
        <v>46</v>
      </c>
      <c r="F148" s="18" t="s">
        <v>33</v>
      </c>
      <c r="G148" s="19" t="s">
        <v>1189</v>
      </c>
      <c r="H148" s="19" t="s">
        <v>1256</v>
      </c>
      <c r="I148" s="19" t="s">
        <v>812</v>
      </c>
      <c r="J148" s="18" t="s">
        <v>51</v>
      </c>
    </row>
    <row r="149" spans="1:10" ht="93.75" customHeight="1">
      <c r="A149" s="21" t="s">
        <v>1257</v>
      </c>
      <c r="B149" s="21" t="s">
        <v>141</v>
      </c>
      <c r="C149" s="22" t="s">
        <v>25</v>
      </c>
      <c r="D149" s="22" t="s">
        <v>1258</v>
      </c>
      <c r="E149" s="18" t="s">
        <v>44</v>
      </c>
      <c r="F149" s="21" t="s">
        <v>33</v>
      </c>
      <c r="G149" s="22" t="s">
        <v>1189</v>
      </c>
      <c r="H149" s="22" t="s">
        <v>1259</v>
      </c>
      <c r="I149" s="22" t="s">
        <v>816</v>
      </c>
      <c r="J149" s="18" t="s">
        <v>51</v>
      </c>
    </row>
    <row r="150" spans="1:10" ht="78.75" customHeight="1">
      <c r="A150" s="18" t="s">
        <v>1260</v>
      </c>
      <c r="B150" s="18" t="s">
        <v>141</v>
      </c>
      <c r="C150" s="19" t="s">
        <v>25</v>
      </c>
      <c r="D150" s="19" t="s">
        <v>1261</v>
      </c>
      <c r="E150" s="18" t="s">
        <v>44</v>
      </c>
      <c r="F150" s="18" t="s">
        <v>33</v>
      </c>
      <c r="G150" s="19" t="s">
        <v>1189</v>
      </c>
      <c r="H150" s="19" t="s">
        <v>1262</v>
      </c>
      <c r="I150" s="19" t="s">
        <v>820</v>
      </c>
      <c r="J150" s="18" t="s">
        <v>51</v>
      </c>
    </row>
    <row r="151" spans="1:10" ht="78.75" customHeight="1">
      <c r="A151" s="21" t="s">
        <v>1263</v>
      </c>
      <c r="B151" s="21" t="s">
        <v>141</v>
      </c>
      <c r="C151" s="22" t="s">
        <v>25</v>
      </c>
      <c r="D151" s="22" t="s">
        <v>1264</v>
      </c>
      <c r="E151" s="18" t="s">
        <v>42</v>
      </c>
      <c r="F151" s="21" t="s">
        <v>33</v>
      </c>
      <c r="G151" s="22" t="s">
        <v>1189</v>
      </c>
      <c r="H151" s="22" t="s">
        <v>1265</v>
      </c>
      <c r="I151" s="22" t="s">
        <v>808</v>
      </c>
      <c r="J151" s="18" t="s">
        <v>51</v>
      </c>
    </row>
    <row r="152" spans="1:10" ht="48.75" customHeight="1">
      <c r="A152" s="18" t="s">
        <v>1266</v>
      </c>
      <c r="B152" s="18" t="s">
        <v>141</v>
      </c>
      <c r="C152" s="19" t="s">
        <v>25</v>
      </c>
      <c r="D152" s="19" t="s">
        <v>1267</v>
      </c>
      <c r="E152" s="18" t="s">
        <v>46</v>
      </c>
      <c r="F152" s="18" t="s">
        <v>33</v>
      </c>
      <c r="G152" s="19" t="s">
        <v>1189</v>
      </c>
      <c r="H152" s="19" t="s">
        <v>1268</v>
      </c>
      <c r="I152" s="19" t="s">
        <v>812</v>
      </c>
      <c r="J152" s="18" t="s">
        <v>51</v>
      </c>
    </row>
    <row r="153" spans="1:10" ht="93.75" customHeight="1">
      <c r="A153" s="21" t="s">
        <v>1269</v>
      </c>
      <c r="B153" s="21" t="s">
        <v>141</v>
      </c>
      <c r="C153" s="22" t="s">
        <v>25</v>
      </c>
      <c r="D153" s="22" t="s">
        <v>1270</v>
      </c>
      <c r="E153" s="18" t="s">
        <v>44</v>
      </c>
      <c r="F153" s="21" t="s">
        <v>33</v>
      </c>
      <c r="G153" s="22" t="s">
        <v>1189</v>
      </c>
      <c r="H153" s="22" t="s">
        <v>1271</v>
      </c>
      <c r="I153" s="22" t="s">
        <v>816</v>
      </c>
      <c r="J153" s="18" t="s">
        <v>51</v>
      </c>
    </row>
    <row r="154" spans="1:10" ht="78.75" customHeight="1">
      <c r="A154" s="18" t="s">
        <v>1272</v>
      </c>
      <c r="B154" s="18" t="s">
        <v>141</v>
      </c>
      <c r="C154" s="19" t="s">
        <v>25</v>
      </c>
      <c r="D154" s="19" t="s">
        <v>1273</v>
      </c>
      <c r="E154" s="18" t="s">
        <v>44</v>
      </c>
      <c r="F154" s="18" t="s">
        <v>33</v>
      </c>
      <c r="G154" s="19" t="s">
        <v>1189</v>
      </c>
      <c r="H154" s="19" t="s">
        <v>1274</v>
      </c>
      <c r="I154" s="19" t="s">
        <v>820</v>
      </c>
      <c r="J154" s="18" t="s">
        <v>51</v>
      </c>
    </row>
    <row r="155" spans="1:10" ht="48.75" customHeight="1">
      <c r="A155" s="21" t="s">
        <v>1275</v>
      </c>
      <c r="B155" s="21" t="s">
        <v>141</v>
      </c>
      <c r="C155" s="22" t="s">
        <v>25</v>
      </c>
      <c r="D155" s="22" t="s">
        <v>1276</v>
      </c>
      <c r="E155" s="18" t="s">
        <v>46</v>
      </c>
      <c r="F155" s="21" t="s">
        <v>33</v>
      </c>
      <c r="G155" s="22" t="s">
        <v>823</v>
      </c>
      <c r="H155" s="22" t="s">
        <v>1277</v>
      </c>
      <c r="I155" s="22" t="s">
        <v>825</v>
      </c>
      <c r="J155" s="18" t="s">
        <v>51</v>
      </c>
    </row>
    <row r="156" spans="1:10" ht="48.75" customHeight="1">
      <c r="A156" s="18" t="s">
        <v>1278</v>
      </c>
      <c r="B156" s="18" t="s">
        <v>141</v>
      </c>
      <c r="C156" s="19" t="s">
        <v>25</v>
      </c>
      <c r="D156" s="19" t="s">
        <v>1279</v>
      </c>
      <c r="E156" s="18" t="s">
        <v>46</v>
      </c>
      <c r="F156" s="18" t="s">
        <v>33</v>
      </c>
      <c r="G156" s="19" t="s">
        <v>828</v>
      </c>
      <c r="H156" s="19" t="s">
        <v>1280</v>
      </c>
      <c r="I156" s="19" t="s">
        <v>825</v>
      </c>
      <c r="J156" s="18" t="s">
        <v>51</v>
      </c>
    </row>
    <row r="157" spans="1:10" ht="78.75" customHeight="1">
      <c r="A157" s="21" t="s">
        <v>1281</v>
      </c>
      <c r="B157" s="21" t="s">
        <v>141</v>
      </c>
      <c r="C157" s="22" t="s">
        <v>25</v>
      </c>
      <c r="D157" s="22" t="s">
        <v>1282</v>
      </c>
      <c r="E157" s="18" t="s">
        <v>44</v>
      </c>
      <c r="F157" s="21" t="s">
        <v>33</v>
      </c>
      <c r="G157" s="22" t="s">
        <v>1189</v>
      </c>
      <c r="H157" s="22" t="s">
        <v>1283</v>
      </c>
      <c r="I157" s="22" t="s">
        <v>1284</v>
      </c>
      <c r="J157" s="18" t="s">
        <v>51</v>
      </c>
    </row>
    <row r="158" spans="1:10" ht="78.75" customHeight="1">
      <c r="A158" s="18" t="s">
        <v>1285</v>
      </c>
      <c r="B158" s="18" t="s">
        <v>141</v>
      </c>
      <c r="C158" s="19" t="s">
        <v>25</v>
      </c>
      <c r="D158" s="19" t="s">
        <v>1286</v>
      </c>
      <c r="E158" s="18" t="s">
        <v>42</v>
      </c>
      <c r="F158" s="18" t="s">
        <v>33</v>
      </c>
      <c r="G158" s="19" t="s">
        <v>1189</v>
      </c>
      <c r="H158" s="19" t="s">
        <v>1287</v>
      </c>
      <c r="I158" s="19" t="s">
        <v>1288</v>
      </c>
      <c r="J158" s="18" t="s">
        <v>51</v>
      </c>
    </row>
    <row r="159" spans="1:10" ht="78.75" customHeight="1">
      <c r="A159" s="21" t="s">
        <v>1289</v>
      </c>
      <c r="B159" s="21" t="s">
        <v>149</v>
      </c>
      <c r="C159" s="22" t="s">
        <v>25</v>
      </c>
      <c r="D159" s="22" t="s">
        <v>1290</v>
      </c>
      <c r="E159" s="18" t="s">
        <v>42</v>
      </c>
      <c r="F159" s="21" t="s">
        <v>35</v>
      </c>
      <c r="G159" s="22" t="s">
        <v>836</v>
      </c>
      <c r="H159" s="22" t="s">
        <v>1291</v>
      </c>
      <c r="I159" s="22" t="s">
        <v>1292</v>
      </c>
      <c r="J159" s="18" t="s">
        <v>51</v>
      </c>
    </row>
    <row r="160" spans="1:10" ht="78.75" customHeight="1">
      <c r="A160" s="18" t="s">
        <v>1293</v>
      </c>
      <c r="B160" s="18" t="s">
        <v>149</v>
      </c>
      <c r="C160" s="19" t="s">
        <v>25</v>
      </c>
      <c r="D160" s="19" t="s">
        <v>1294</v>
      </c>
      <c r="E160" s="18" t="s">
        <v>42</v>
      </c>
      <c r="F160" s="18" t="s">
        <v>35</v>
      </c>
      <c r="G160" s="19" t="s">
        <v>836</v>
      </c>
      <c r="H160" s="19" t="s">
        <v>1295</v>
      </c>
      <c r="I160" s="19" t="s">
        <v>1296</v>
      </c>
      <c r="J160" s="18" t="s">
        <v>51</v>
      </c>
    </row>
    <row r="161" spans="1:10" ht="78.75" customHeight="1">
      <c r="A161" s="21" t="s">
        <v>1297</v>
      </c>
      <c r="B161" s="21" t="s">
        <v>149</v>
      </c>
      <c r="C161" s="22" t="s">
        <v>25</v>
      </c>
      <c r="D161" s="22" t="s">
        <v>1298</v>
      </c>
      <c r="E161" s="18" t="s">
        <v>42</v>
      </c>
      <c r="F161" s="21" t="s">
        <v>35</v>
      </c>
      <c r="G161" s="22" t="s">
        <v>836</v>
      </c>
      <c r="H161" s="22" t="s">
        <v>1299</v>
      </c>
      <c r="I161" s="22" t="s">
        <v>1300</v>
      </c>
      <c r="J161" s="18" t="s">
        <v>51</v>
      </c>
    </row>
    <row r="162" spans="1:10" ht="78.75" customHeight="1">
      <c r="A162" s="18" t="s">
        <v>1301</v>
      </c>
      <c r="B162" s="18" t="s">
        <v>149</v>
      </c>
      <c r="C162" s="19" t="s">
        <v>25</v>
      </c>
      <c r="D162" s="19" t="s">
        <v>1302</v>
      </c>
      <c r="E162" s="18" t="s">
        <v>42</v>
      </c>
      <c r="F162" s="18" t="s">
        <v>35</v>
      </c>
      <c r="G162" s="19" t="s">
        <v>836</v>
      </c>
      <c r="H162" s="19" t="s">
        <v>1303</v>
      </c>
      <c r="I162" s="19" t="s">
        <v>1304</v>
      </c>
      <c r="J162" s="18" t="s">
        <v>51</v>
      </c>
    </row>
    <row r="163" spans="1:10" ht="78.75" customHeight="1">
      <c r="A163" s="21" t="s">
        <v>1305</v>
      </c>
      <c r="B163" s="21" t="s">
        <v>149</v>
      </c>
      <c r="C163" s="22" t="s">
        <v>25</v>
      </c>
      <c r="D163" s="22" t="s">
        <v>1306</v>
      </c>
      <c r="E163" s="18" t="s">
        <v>42</v>
      </c>
      <c r="F163" s="21" t="s">
        <v>35</v>
      </c>
      <c r="G163" s="22" t="s">
        <v>836</v>
      </c>
      <c r="H163" s="22" t="s">
        <v>1307</v>
      </c>
      <c r="I163" s="22" t="s">
        <v>808</v>
      </c>
      <c r="J163" s="18" t="s">
        <v>51</v>
      </c>
    </row>
    <row r="164" spans="1:10" ht="48.75" customHeight="1">
      <c r="A164" s="18" t="s">
        <v>1308</v>
      </c>
      <c r="B164" s="18" t="s">
        <v>149</v>
      </c>
      <c r="C164" s="19" t="s">
        <v>25</v>
      </c>
      <c r="D164" s="19" t="s">
        <v>1309</v>
      </c>
      <c r="E164" s="18" t="s">
        <v>46</v>
      </c>
      <c r="F164" s="18" t="s">
        <v>35</v>
      </c>
      <c r="G164" s="19" t="s">
        <v>836</v>
      </c>
      <c r="H164" s="19" t="s">
        <v>1310</v>
      </c>
      <c r="I164" s="19" t="s">
        <v>812</v>
      </c>
      <c r="J164" s="18" t="s">
        <v>51</v>
      </c>
    </row>
    <row r="165" spans="1:10" ht="78.75" customHeight="1">
      <c r="A165" s="21" t="s">
        <v>1311</v>
      </c>
      <c r="B165" s="21" t="s">
        <v>149</v>
      </c>
      <c r="C165" s="22" t="s">
        <v>25</v>
      </c>
      <c r="D165" s="22" t="s">
        <v>1312</v>
      </c>
      <c r="E165" s="18" t="s">
        <v>44</v>
      </c>
      <c r="F165" s="21" t="s">
        <v>35</v>
      </c>
      <c r="G165" s="22" t="s">
        <v>836</v>
      </c>
      <c r="H165" s="22" t="s">
        <v>1313</v>
      </c>
      <c r="I165" s="22" t="s">
        <v>816</v>
      </c>
      <c r="J165" s="18" t="s">
        <v>51</v>
      </c>
    </row>
    <row r="166" spans="1:10" ht="78.75" customHeight="1">
      <c r="A166" s="18" t="s">
        <v>1314</v>
      </c>
      <c r="B166" s="18" t="s">
        <v>149</v>
      </c>
      <c r="C166" s="19" t="s">
        <v>25</v>
      </c>
      <c r="D166" s="19" t="s">
        <v>1315</v>
      </c>
      <c r="E166" s="18" t="s">
        <v>44</v>
      </c>
      <c r="F166" s="18" t="s">
        <v>35</v>
      </c>
      <c r="G166" s="19" t="s">
        <v>836</v>
      </c>
      <c r="H166" s="19" t="s">
        <v>1316</v>
      </c>
      <c r="I166" s="19" t="s">
        <v>820</v>
      </c>
      <c r="J166" s="18" t="s">
        <v>51</v>
      </c>
    </row>
    <row r="167" spans="1:10" ht="78.75" customHeight="1">
      <c r="A167" s="21" t="s">
        <v>1317</v>
      </c>
      <c r="B167" s="21" t="s">
        <v>149</v>
      </c>
      <c r="C167" s="22" t="s">
        <v>25</v>
      </c>
      <c r="D167" s="22" t="s">
        <v>1318</v>
      </c>
      <c r="E167" s="18" t="s">
        <v>42</v>
      </c>
      <c r="F167" s="21" t="s">
        <v>35</v>
      </c>
      <c r="G167" s="22" t="s">
        <v>836</v>
      </c>
      <c r="H167" s="22" t="s">
        <v>1319</v>
      </c>
      <c r="I167" s="22" t="s">
        <v>808</v>
      </c>
      <c r="J167" s="18" t="s">
        <v>51</v>
      </c>
    </row>
    <row r="168" spans="1:10" ht="48.75" customHeight="1">
      <c r="A168" s="18" t="s">
        <v>1320</v>
      </c>
      <c r="B168" s="18" t="s">
        <v>149</v>
      </c>
      <c r="C168" s="19" t="s">
        <v>25</v>
      </c>
      <c r="D168" s="19" t="s">
        <v>1321</v>
      </c>
      <c r="E168" s="18" t="s">
        <v>46</v>
      </c>
      <c r="F168" s="18" t="s">
        <v>35</v>
      </c>
      <c r="G168" s="19" t="s">
        <v>836</v>
      </c>
      <c r="H168" s="19" t="s">
        <v>1322</v>
      </c>
      <c r="I168" s="19" t="s">
        <v>812</v>
      </c>
      <c r="J168" s="18" t="s">
        <v>51</v>
      </c>
    </row>
    <row r="169" spans="1:10" ht="93.75" customHeight="1">
      <c r="A169" s="21" t="s">
        <v>1323</v>
      </c>
      <c r="B169" s="21" t="s">
        <v>149</v>
      </c>
      <c r="C169" s="22" t="s">
        <v>25</v>
      </c>
      <c r="D169" s="22" t="s">
        <v>1324</v>
      </c>
      <c r="E169" s="18" t="s">
        <v>44</v>
      </c>
      <c r="F169" s="21" t="s">
        <v>35</v>
      </c>
      <c r="G169" s="22" t="s">
        <v>836</v>
      </c>
      <c r="H169" s="22" t="s">
        <v>1325</v>
      </c>
      <c r="I169" s="22" t="s">
        <v>816</v>
      </c>
      <c r="J169" s="18" t="s">
        <v>51</v>
      </c>
    </row>
    <row r="170" spans="1:10" ht="78.75" customHeight="1">
      <c r="A170" s="18" t="s">
        <v>1326</v>
      </c>
      <c r="B170" s="18" t="s">
        <v>149</v>
      </c>
      <c r="C170" s="19" t="s">
        <v>25</v>
      </c>
      <c r="D170" s="19" t="s">
        <v>1327</v>
      </c>
      <c r="E170" s="18" t="s">
        <v>44</v>
      </c>
      <c r="F170" s="18" t="s">
        <v>35</v>
      </c>
      <c r="G170" s="19" t="s">
        <v>836</v>
      </c>
      <c r="H170" s="19" t="s">
        <v>1328</v>
      </c>
      <c r="I170" s="19" t="s">
        <v>820</v>
      </c>
      <c r="J170" s="18" t="s">
        <v>51</v>
      </c>
    </row>
    <row r="171" spans="1:10" ht="48.75" customHeight="1">
      <c r="A171" s="21" t="s">
        <v>1329</v>
      </c>
      <c r="B171" s="21" t="s">
        <v>149</v>
      </c>
      <c r="C171" s="22" t="s">
        <v>25</v>
      </c>
      <c r="D171" s="22" t="s">
        <v>1330</v>
      </c>
      <c r="E171" s="18" t="s">
        <v>46</v>
      </c>
      <c r="F171" s="21" t="s">
        <v>35</v>
      </c>
      <c r="G171" s="22" t="s">
        <v>823</v>
      </c>
      <c r="H171" s="22" t="s">
        <v>1331</v>
      </c>
      <c r="I171" s="22" t="s">
        <v>825</v>
      </c>
      <c r="J171" s="18" t="s">
        <v>51</v>
      </c>
    </row>
    <row r="172" spans="1:10" ht="48.75" customHeight="1">
      <c r="A172" s="18" t="s">
        <v>1332</v>
      </c>
      <c r="B172" s="18" t="s">
        <v>149</v>
      </c>
      <c r="C172" s="19" t="s">
        <v>25</v>
      </c>
      <c r="D172" s="19" t="s">
        <v>1333</v>
      </c>
      <c r="E172" s="18" t="s">
        <v>46</v>
      </c>
      <c r="F172" s="18" t="s">
        <v>35</v>
      </c>
      <c r="G172" s="19" t="s">
        <v>828</v>
      </c>
      <c r="H172" s="19" t="s">
        <v>1334</v>
      </c>
      <c r="I172" s="19" t="s">
        <v>825</v>
      </c>
      <c r="J172" s="18" t="s">
        <v>51</v>
      </c>
    </row>
    <row r="173" spans="1:10" ht="78.75" customHeight="1">
      <c r="A173" s="21" t="s">
        <v>1335</v>
      </c>
      <c r="B173" s="21" t="s">
        <v>149</v>
      </c>
      <c r="C173" s="22" t="s">
        <v>25</v>
      </c>
      <c r="D173" s="22" t="s">
        <v>1336</v>
      </c>
      <c r="E173" s="18" t="s">
        <v>44</v>
      </c>
      <c r="F173" s="21" t="s">
        <v>35</v>
      </c>
      <c r="G173" s="22" t="s">
        <v>836</v>
      </c>
      <c r="H173" s="22" t="s">
        <v>1337</v>
      </c>
      <c r="I173" s="22" t="s">
        <v>1284</v>
      </c>
      <c r="J173" s="18" t="s">
        <v>51</v>
      </c>
    </row>
    <row r="174" spans="1:10" ht="78.75" customHeight="1">
      <c r="A174" s="18" t="s">
        <v>1338</v>
      </c>
      <c r="B174" s="18" t="s">
        <v>149</v>
      </c>
      <c r="C174" s="19" t="s">
        <v>25</v>
      </c>
      <c r="D174" s="19" t="s">
        <v>1339</v>
      </c>
      <c r="E174" s="18" t="s">
        <v>42</v>
      </c>
      <c r="F174" s="18" t="s">
        <v>35</v>
      </c>
      <c r="G174" s="19" t="s">
        <v>836</v>
      </c>
      <c r="H174" s="19" t="s">
        <v>1340</v>
      </c>
      <c r="I174" s="19" t="s">
        <v>1288</v>
      </c>
      <c r="J174" s="18" t="s">
        <v>51</v>
      </c>
    </row>
    <row r="175" spans="1:10" ht="78.75" customHeight="1">
      <c r="A175" s="21" t="s">
        <v>1341</v>
      </c>
      <c r="B175" s="21" t="s">
        <v>154</v>
      </c>
      <c r="C175" s="22" t="s">
        <v>25</v>
      </c>
      <c r="D175" s="22" t="s">
        <v>1342</v>
      </c>
      <c r="E175" s="18" t="s">
        <v>42</v>
      </c>
      <c r="F175" s="21" t="s">
        <v>37</v>
      </c>
      <c r="G175" s="22" t="s">
        <v>920</v>
      </c>
      <c r="H175" s="22" t="s">
        <v>1343</v>
      </c>
      <c r="I175" s="22" t="s">
        <v>1344</v>
      </c>
      <c r="J175" s="18" t="s">
        <v>51</v>
      </c>
    </row>
    <row r="176" spans="1:10" ht="78.75" customHeight="1">
      <c r="A176" s="18" t="s">
        <v>1345</v>
      </c>
      <c r="B176" s="18" t="s">
        <v>154</v>
      </c>
      <c r="C176" s="19" t="s">
        <v>25</v>
      </c>
      <c r="D176" s="19" t="s">
        <v>1346</v>
      </c>
      <c r="E176" s="18" t="s">
        <v>42</v>
      </c>
      <c r="F176" s="18" t="s">
        <v>37</v>
      </c>
      <c r="G176" s="19" t="s">
        <v>920</v>
      </c>
      <c r="H176" s="19" t="s">
        <v>1347</v>
      </c>
      <c r="I176" s="19" t="s">
        <v>1348</v>
      </c>
      <c r="J176" s="18" t="s">
        <v>51</v>
      </c>
    </row>
    <row r="177" spans="1:10" ht="78.75" customHeight="1">
      <c r="A177" s="21" t="s">
        <v>1349</v>
      </c>
      <c r="B177" s="21" t="s">
        <v>154</v>
      </c>
      <c r="C177" s="22" t="s">
        <v>25</v>
      </c>
      <c r="D177" s="22" t="s">
        <v>1350</v>
      </c>
      <c r="E177" s="18" t="s">
        <v>42</v>
      </c>
      <c r="F177" s="21" t="s">
        <v>37</v>
      </c>
      <c r="G177" s="22" t="s">
        <v>920</v>
      </c>
      <c r="H177" s="22" t="s">
        <v>1351</v>
      </c>
      <c r="I177" s="22" t="s">
        <v>1352</v>
      </c>
      <c r="J177" s="18" t="s">
        <v>51</v>
      </c>
    </row>
    <row r="178" spans="1:10" ht="48.75" customHeight="1">
      <c r="A178" s="18" t="s">
        <v>1353</v>
      </c>
      <c r="B178" s="18" t="s">
        <v>154</v>
      </c>
      <c r="C178" s="19" t="s">
        <v>25</v>
      </c>
      <c r="D178" s="19" t="s">
        <v>1354</v>
      </c>
      <c r="E178" s="18" t="s">
        <v>46</v>
      </c>
      <c r="F178" s="18" t="s">
        <v>37</v>
      </c>
      <c r="G178" s="19" t="s">
        <v>823</v>
      </c>
      <c r="H178" s="19" t="s">
        <v>1355</v>
      </c>
      <c r="I178" s="19" t="s">
        <v>958</v>
      </c>
      <c r="J178" s="18" t="s">
        <v>51</v>
      </c>
    </row>
    <row r="179" spans="1:10" ht="48.75" customHeight="1">
      <c r="A179" s="21" t="s">
        <v>1356</v>
      </c>
      <c r="B179" s="21" t="s">
        <v>154</v>
      </c>
      <c r="C179" s="22" t="s">
        <v>25</v>
      </c>
      <c r="D179" s="22" t="s">
        <v>1357</v>
      </c>
      <c r="E179" s="18" t="s">
        <v>46</v>
      </c>
      <c r="F179" s="21" t="s">
        <v>37</v>
      </c>
      <c r="G179" s="22" t="s">
        <v>961</v>
      </c>
      <c r="H179" s="22" t="s">
        <v>1358</v>
      </c>
      <c r="I179" s="22" t="s">
        <v>958</v>
      </c>
      <c r="J179" s="18" t="s">
        <v>51</v>
      </c>
    </row>
    <row r="180" spans="1:10" ht="48.75" customHeight="1">
      <c r="A180" s="18" t="s">
        <v>1359</v>
      </c>
      <c r="B180" s="18" t="s">
        <v>154</v>
      </c>
      <c r="C180" s="19" t="s">
        <v>25</v>
      </c>
      <c r="D180" s="19" t="s">
        <v>1360</v>
      </c>
      <c r="E180" s="18" t="s">
        <v>46</v>
      </c>
      <c r="F180" s="18" t="s">
        <v>37</v>
      </c>
      <c r="G180" s="19" t="s">
        <v>828</v>
      </c>
      <c r="H180" s="19" t="s">
        <v>1361</v>
      </c>
      <c r="I180" s="19" t="s">
        <v>958</v>
      </c>
      <c r="J180" s="18" t="s">
        <v>51</v>
      </c>
    </row>
    <row r="181" spans="1:10" ht="78.75" customHeight="1">
      <c r="A181" s="21" t="s">
        <v>1362</v>
      </c>
      <c r="B181" s="21" t="s">
        <v>154</v>
      </c>
      <c r="C181" s="22" t="s">
        <v>25</v>
      </c>
      <c r="D181" s="22" t="s">
        <v>1363</v>
      </c>
      <c r="E181" s="18" t="s">
        <v>44</v>
      </c>
      <c r="F181" s="21" t="s">
        <v>37</v>
      </c>
      <c r="G181" s="22" t="s">
        <v>920</v>
      </c>
      <c r="H181" s="22" t="s">
        <v>1364</v>
      </c>
      <c r="I181" s="22" t="s">
        <v>1284</v>
      </c>
      <c r="J181" s="18" t="s">
        <v>51</v>
      </c>
    </row>
    <row r="182" spans="1:10" ht="78.75" customHeight="1">
      <c r="A182" s="18" t="s">
        <v>1365</v>
      </c>
      <c r="B182" s="18" t="s">
        <v>154</v>
      </c>
      <c r="C182" s="19" t="s">
        <v>25</v>
      </c>
      <c r="D182" s="19" t="s">
        <v>1366</v>
      </c>
      <c r="E182" s="18" t="s">
        <v>42</v>
      </c>
      <c r="F182" s="18" t="s">
        <v>37</v>
      </c>
      <c r="G182" s="19" t="s">
        <v>920</v>
      </c>
      <c r="H182" s="19" t="s">
        <v>1367</v>
      </c>
      <c r="I182" s="19" t="s">
        <v>1288</v>
      </c>
      <c r="J182" s="18" t="s">
        <v>51</v>
      </c>
    </row>
    <row r="183" spans="1:10" ht="78.75" customHeight="1">
      <c r="A183" s="21" t="s">
        <v>1368</v>
      </c>
      <c r="B183" s="21" t="s">
        <v>158</v>
      </c>
      <c r="C183" s="22" t="s">
        <v>25</v>
      </c>
      <c r="D183" s="22" t="s">
        <v>1369</v>
      </c>
      <c r="E183" s="18" t="s">
        <v>42</v>
      </c>
      <c r="F183" s="21" t="s">
        <v>37</v>
      </c>
      <c r="G183" s="22" t="s">
        <v>920</v>
      </c>
      <c r="H183" s="22" t="s">
        <v>1370</v>
      </c>
      <c r="I183" s="22" t="s">
        <v>1371</v>
      </c>
      <c r="J183" s="18" t="s">
        <v>51</v>
      </c>
    </row>
    <row r="184" spans="1:10" ht="78.75" customHeight="1">
      <c r="A184" s="18" t="s">
        <v>1372</v>
      </c>
      <c r="B184" s="18" t="s">
        <v>158</v>
      </c>
      <c r="C184" s="19" t="s">
        <v>25</v>
      </c>
      <c r="D184" s="19" t="s">
        <v>1373</v>
      </c>
      <c r="E184" s="18" t="s">
        <v>42</v>
      </c>
      <c r="F184" s="18" t="s">
        <v>37</v>
      </c>
      <c r="G184" s="19" t="s">
        <v>920</v>
      </c>
      <c r="H184" s="19" t="s">
        <v>1374</v>
      </c>
      <c r="I184" s="19" t="s">
        <v>1375</v>
      </c>
      <c r="J184" s="18" t="s">
        <v>51</v>
      </c>
    </row>
    <row r="185" spans="1:10" ht="78.75" customHeight="1">
      <c r="A185" s="21" t="s">
        <v>1376</v>
      </c>
      <c r="B185" s="21" t="s">
        <v>158</v>
      </c>
      <c r="C185" s="22" t="s">
        <v>25</v>
      </c>
      <c r="D185" s="22" t="s">
        <v>1377</v>
      </c>
      <c r="E185" s="18" t="s">
        <v>42</v>
      </c>
      <c r="F185" s="21" t="s">
        <v>37</v>
      </c>
      <c r="G185" s="22" t="s">
        <v>920</v>
      </c>
      <c r="H185" s="22" t="s">
        <v>1378</v>
      </c>
      <c r="I185" s="22" t="s">
        <v>1379</v>
      </c>
      <c r="J185" s="18" t="s">
        <v>51</v>
      </c>
    </row>
    <row r="186" spans="1:10" ht="78.75" customHeight="1">
      <c r="A186" s="18" t="s">
        <v>1380</v>
      </c>
      <c r="B186" s="18" t="s">
        <v>158</v>
      </c>
      <c r="C186" s="19" t="s">
        <v>25</v>
      </c>
      <c r="D186" s="19" t="s">
        <v>1381</v>
      </c>
      <c r="E186" s="18" t="s">
        <v>42</v>
      </c>
      <c r="F186" s="18" t="s">
        <v>37</v>
      </c>
      <c r="G186" s="19" t="s">
        <v>920</v>
      </c>
      <c r="H186" s="19" t="s">
        <v>1382</v>
      </c>
      <c r="I186" s="19" t="s">
        <v>1383</v>
      </c>
      <c r="J186" s="18" t="s">
        <v>51</v>
      </c>
    </row>
    <row r="187" spans="1:10" ht="78.75" customHeight="1">
      <c r="A187" s="21" t="s">
        <v>1384</v>
      </c>
      <c r="B187" s="21" t="s">
        <v>158</v>
      </c>
      <c r="C187" s="22" t="s">
        <v>25</v>
      </c>
      <c r="D187" s="22" t="s">
        <v>1385</v>
      </c>
      <c r="E187" s="18" t="s">
        <v>42</v>
      </c>
      <c r="F187" s="21" t="s">
        <v>37</v>
      </c>
      <c r="G187" s="22" t="s">
        <v>920</v>
      </c>
      <c r="H187" s="22" t="s">
        <v>1386</v>
      </c>
      <c r="I187" s="22" t="s">
        <v>808</v>
      </c>
      <c r="J187" s="18" t="s">
        <v>51</v>
      </c>
    </row>
    <row r="188" spans="1:10" ht="48.75" customHeight="1">
      <c r="A188" s="18" t="s">
        <v>1387</v>
      </c>
      <c r="B188" s="18" t="s">
        <v>158</v>
      </c>
      <c r="C188" s="19" t="s">
        <v>25</v>
      </c>
      <c r="D188" s="19" t="s">
        <v>1388</v>
      </c>
      <c r="E188" s="18" t="s">
        <v>46</v>
      </c>
      <c r="F188" s="18" t="s">
        <v>37</v>
      </c>
      <c r="G188" s="19" t="s">
        <v>920</v>
      </c>
      <c r="H188" s="19" t="s">
        <v>1389</v>
      </c>
      <c r="I188" s="19" t="s">
        <v>812</v>
      </c>
      <c r="J188" s="18" t="s">
        <v>51</v>
      </c>
    </row>
    <row r="189" spans="1:10" ht="78.75" customHeight="1">
      <c r="A189" s="21" t="s">
        <v>1390</v>
      </c>
      <c r="B189" s="21" t="s">
        <v>158</v>
      </c>
      <c r="C189" s="22" t="s">
        <v>25</v>
      </c>
      <c r="D189" s="22" t="s">
        <v>1391</v>
      </c>
      <c r="E189" s="18" t="s">
        <v>44</v>
      </c>
      <c r="F189" s="21" t="s">
        <v>37</v>
      </c>
      <c r="G189" s="22" t="s">
        <v>920</v>
      </c>
      <c r="H189" s="22" t="s">
        <v>1392</v>
      </c>
      <c r="I189" s="22" t="s">
        <v>816</v>
      </c>
      <c r="J189" s="18" t="s">
        <v>51</v>
      </c>
    </row>
    <row r="190" spans="1:10" ht="78.75" customHeight="1">
      <c r="A190" s="18" t="s">
        <v>1393</v>
      </c>
      <c r="B190" s="18" t="s">
        <v>158</v>
      </c>
      <c r="C190" s="19" t="s">
        <v>25</v>
      </c>
      <c r="D190" s="19" t="s">
        <v>1394</v>
      </c>
      <c r="E190" s="18" t="s">
        <v>44</v>
      </c>
      <c r="F190" s="18" t="s">
        <v>37</v>
      </c>
      <c r="G190" s="19" t="s">
        <v>920</v>
      </c>
      <c r="H190" s="19" t="s">
        <v>1395</v>
      </c>
      <c r="I190" s="19" t="s">
        <v>820</v>
      </c>
      <c r="J190" s="18" t="s">
        <v>51</v>
      </c>
    </row>
    <row r="191" spans="1:10" ht="48.75" customHeight="1">
      <c r="A191" s="21" t="s">
        <v>1396</v>
      </c>
      <c r="B191" s="21" t="s">
        <v>158</v>
      </c>
      <c r="C191" s="22" t="s">
        <v>25</v>
      </c>
      <c r="D191" s="22" t="s">
        <v>1397</v>
      </c>
      <c r="E191" s="18" t="s">
        <v>46</v>
      </c>
      <c r="F191" s="21" t="s">
        <v>37</v>
      </c>
      <c r="G191" s="22" t="s">
        <v>823</v>
      </c>
      <c r="H191" s="22" t="s">
        <v>1398</v>
      </c>
      <c r="I191" s="22" t="s">
        <v>958</v>
      </c>
      <c r="J191" s="18" t="s">
        <v>51</v>
      </c>
    </row>
    <row r="192" spans="1:10" ht="48.75" customHeight="1">
      <c r="A192" s="18" t="s">
        <v>1399</v>
      </c>
      <c r="B192" s="18" t="s">
        <v>158</v>
      </c>
      <c r="C192" s="19" t="s">
        <v>25</v>
      </c>
      <c r="D192" s="19" t="s">
        <v>1400</v>
      </c>
      <c r="E192" s="18" t="s">
        <v>46</v>
      </c>
      <c r="F192" s="18" t="s">
        <v>37</v>
      </c>
      <c r="G192" s="19" t="s">
        <v>961</v>
      </c>
      <c r="H192" s="19" t="s">
        <v>1401</v>
      </c>
      <c r="I192" s="19" t="s">
        <v>958</v>
      </c>
      <c r="J192" s="18" t="s">
        <v>51</v>
      </c>
    </row>
    <row r="193" spans="1:10" ht="48.75" customHeight="1">
      <c r="A193" s="21" t="s">
        <v>1402</v>
      </c>
      <c r="B193" s="21" t="s">
        <v>158</v>
      </c>
      <c r="C193" s="22" t="s">
        <v>25</v>
      </c>
      <c r="D193" s="22" t="s">
        <v>1403</v>
      </c>
      <c r="E193" s="18" t="s">
        <v>46</v>
      </c>
      <c r="F193" s="21" t="s">
        <v>37</v>
      </c>
      <c r="G193" s="22" t="s">
        <v>828</v>
      </c>
      <c r="H193" s="22" t="s">
        <v>1404</v>
      </c>
      <c r="I193" s="22" t="s">
        <v>958</v>
      </c>
      <c r="J193" s="18" t="s">
        <v>51</v>
      </c>
    </row>
    <row r="194" spans="1:10" ht="78.75" customHeight="1">
      <c r="A194" s="18" t="s">
        <v>1405</v>
      </c>
      <c r="B194" s="18" t="s">
        <v>163</v>
      </c>
      <c r="C194" s="19" t="s">
        <v>25</v>
      </c>
      <c r="D194" s="19" t="s">
        <v>1406</v>
      </c>
      <c r="E194" s="18" t="s">
        <v>42</v>
      </c>
      <c r="F194" s="18" t="s">
        <v>35</v>
      </c>
      <c r="G194" s="19" t="s">
        <v>920</v>
      </c>
      <c r="H194" s="19" t="s">
        <v>1407</v>
      </c>
      <c r="I194" s="19" t="s">
        <v>1408</v>
      </c>
      <c r="J194" s="18" t="s">
        <v>51</v>
      </c>
    </row>
    <row r="195" spans="1:10" ht="78.75" customHeight="1">
      <c r="A195" s="21" t="s">
        <v>1409</v>
      </c>
      <c r="B195" s="21" t="s">
        <v>163</v>
      </c>
      <c r="C195" s="22" t="s">
        <v>25</v>
      </c>
      <c r="D195" s="22" t="s">
        <v>1410</v>
      </c>
      <c r="E195" s="18" t="s">
        <v>42</v>
      </c>
      <c r="F195" s="21" t="s">
        <v>35</v>
      </c>
      <c r="G195" s="22" t="s">
        <v>920</v>
      </c>
      <c r="H195" s="22" t="s">
        <v>1411</v>
      </c>
      <c r="I195" s="22" t="s">
        <v>1412</v>
      </c>
      <c r="J195" s="18" t="s">
        <v>51</v>
      </c>
    </row>
    <row r="196" spans="1:10" ht="78.75" customHeight="1">
      <c r="A196" s="18" t="s">
        <v>1413</v>
      </c>
      <c r="B196" s="18" t="s">
        <v>163</v>
      </c>
      <c r="C196" s="19" t="s">
        <v>25</v>
      </c>
      <c r="D196" s="19" t="s">
        <v>1414</v>
      </c>
      <c r="E196" s="18" t="s">
        <v>44</v>
      </c>
      <c r="F196" s="18" t="s">
        <v>35</v>
      </c>
      <c r="G196" s="19" t="s">
        <v>920</v>
      </c>
      <c r="H196" s="19" t="s">
        <v>1415</v>
      </c>
      <c r="I196" s="19" t="s">
        <v>1416</v>
      </c>
      <c r="J196" s="18" t="s">
        <v>51</v>
      </c>
    </row>
    <row r="197" spans="1:10" ht="78.75" customHeight="1">
      <c r="A197" s="21" t="s">
        <v>1417</v>
      </c>
      <c r="B197" s="21" t="s">
        <v>163</v>
      </c>
      <c r="C197" s="22" t="s">
        <v>25</v>
      </c>
      <c r="D197" s="22" t="s">
        <v>1418</v>
      </c>
      <c r="E197" s="18" t="s">
        <v>42</v>
      </c>
      <c r="F197" s="21" t="s">
        <v>35</v>
      </c>
      <c r="G197" s="22" t="s">
        <v>920</v>
      </c>
      <c r="H197" s="22" t="s">
        <v>1419</v>
      </c>
      <c r="I197" s="22" t="s">
        <v>1420</v>
      </c>
      <c r="J197" s="18" t="s">
        <v>51</v>
      </c>
    </row>
    <row r="198" spans="1:10" ht="78.75" customHeight="1">
      <c r="A198" s="18" t="s">
        <v>1421</v>
      </c>
      <c r="B198" s="18" t="s">
        <v>163</v>
      </c>
      <c r="C198" s="19" t="s">
        <v>25</v>
      </c>
      <c r="D198" s="19" t="s">
        <v>1422</v>
      </c>
      <c r="E198" s="18" t="s">
        <v>42</v>
      </c>
      <c r="F198" s="18" t="s">
        <v>35</v>
      </c>
      <c r="G198" s="19" t="s">
        <v>920</v>
      </c>
      <c r="H198" s="19" t="s">
        <v>1423</v>
      </c>
      <c r="I198" s="19" t="s">
        <v>808</v>
      </c>
      <c r="J198" s="18" t="s">
        <v>51</v>
      </c>
    </row>
    <row r="199" spans="1:10" ht="48.75" customHeight="1">
      <c r="A199" s="21" t="s">
        <v>1424</v>
      </c>
      <c r="B199" s="21" t="s">
        <v>163</v>
      </c>
      <c r="C199" s="22" t="s">
        <v>25</v>
      </c>
      <c r="D199" s="22" t="s">
        <v>1425</v>
      </c>
      <c r="E199" s="18" t="s">
        <v>46</v>
      </c>
      <c r="F199" s="21" t="s">
        <v>35</v>
      </c>
      <c r="G199" s="22" t="s">
        <v>920</v>
      </c>
      <c r="H199" s="22" t="s">
        <v>1426</v>
      </c>
      <c r="I199" s="22" t="s">
        <v>812</v>
      </c>
      <c r="J199" s="18" t="s">
        <v>51</v>
      </c>
    </row>
    <row r="200" spans="1:10" ht="78.75" customHeight="1">
      <c r="A200" s="18" t="s">
        <v>1427</v>
      </c>
      <c r="B200" s="18" t="s">
        <v>163</v>
      </c>
      <c r="C200" s="19" t="s">
        <v>25</v>
      </c>
      <c r="D200" s="19" t="s">
        <v>1428</v>
      </c>
      <c r="E200" s="18" t="s">
        <v>44</v>
      </c>
      <c r="F200" s="18" t="s">
        <v>35</v>
      </c>
      <c r="G200" s="19" t="s">
        <v>920</v>
      </c>
      <c r="H200" s="19" t="s">
        <v>1429</v>
      </c>
      <c r="I200" s="19" t="s">
        <v>816</v>
      </c>
      <c r="J200" s="18" t="s">
        <v>51</v>
      </c>
    </row>
    <row r="201" spans="1:10" ht="78.75" customHeight="1">
      <c r="A201" s="21" t="s">
        <v>1430</v>
      </c>
      <c r="B201" s="21" t="s">
        <v>163</v>
      </c>
      <c r="C201" s="22" t="s">
        <v>25</v>
      </c>
      <c r="D201" s="22" t="s">
        <v>1431</v>
      </c>
      <c r="E201" s="18" t="s">
        <v>44</v>
      </c>
      <c r="F201" s="21" t="s">
        <v>35</v>
      </c>
      <c r="G201" s="22" t="s">
        <v>920</v>
      </c>
      <c r="H201" s="22" t="s">
        <v>1432</v>
      </c>
      <c r="I201" s="22" t="s">
        <v>820</v>
      </c>
      <c r="J201" s="18" t="s">
        <v>51</v>
      </c>
    </row>
    <row r="202" spans="1:10" ht="48.75" customHeight="1">
      <c r="A202" s="18" t="s">
        <v>1433</v>
      </c>
      <c r="B202" s="18" t="s">
        <v>163</v>
      </c>
      <c r="C202" s="19" t="s">
        <v>25</v>
      </c>
      <c r="D202" s="19" t="s">
        <v>1434</v>
      </c>
      <c r="E202" s="18" t="s">
        <v>46</v>
      </c>
      <c r="F202" s="18" t="s">
        <v>35</v>
      </c>
      <c r="G202" s="19" t="s">
        <v>823</v>
      </c>
      <c r="H202" s="19" t="s">
        <v>1435</v>
      </c>
      <c r="I202" s="19" t="s">
        <v>958</v>
      </c>
      <c r="J202" s="18" t="s">
        <v>51</v>
      </c>
    </row>
    <row r="203" spans="1:10" ht="48.75" customHeight="1">
      <c r="A203" s="21" t="s">
        <v>1436</v>
      </c>
      <c r="B203" s="21" t="s">
        <v>163</v>
      </c>
      <c r="C203" s="22" t="s">
        <v>25</v>
      </c>
      <c r="D203" s="22" t="s">
        <v>1437</v>
      </c>
      <c r="E203" s="18" t="s">
        <v>46</v>
      </c>
      <c r="F203" s="21" t="s">
        <v>35</v>
      </c>
      <c r="G203" s="22" t="s">
        <v>961</v>
      </c>
      <c r="H203" s="22" t="s">
        <v>1438</v>
      </c>
      <c r="I203" s="22" t="s">
        <v>958</v>
      </c>
      <c r="J203" s="18" t="s">
        <v>51</v>
      </c>
    </row>
    <row r="204" spans="1:10" ht="48.75" customHeight="1">
      <c r="A204" s="18" t="s">
        <v>1439</v>
      </c>
      <c r="B204" s="18" t="s">
        <v>163</v>
      </c>
      <c r="C204" s="19" t="s">
        <v>25</v>
      </c>
      <c r="D204" s="19" t="s">
        <v>1440</v>
      </c>
      <c r="E204" s="18" t="s">
        <v>46</v>
      </c>
      <c r="F204" s="18" t="s">
        <v>35</v>
      </c>
      <c r="G204" s="19" t="s">
        <v>828</v>
      </c>
      <c r="H204" s="19" t="s">
        <v>1441</v>
      </c>
      <c r="I204" s="19" t="s">
        <v>958</v>
      </c>
      <c r="J204" s="18" t="s">
        <v>51</v>
      </c>
    </row>
    <row r="205" spans="1:10" ht="78.75" customHeight="1">
      <c r="A205" s="21" t="s">
        <v>1442</v>
      </c>
      <c r="B205" s="21" t="s">
        <v>163</v>
      </c>
      <c r="C205" s="22" t="s">
        <v>25</v>
      </c>
      <c r="D205" s="22" t="s">
        <v>1443</v>
      </c>
      <c r="E205" s="18" t="s">
        <v>44</v>
      </c>
      <c r="F205" s="21" t="s">
        <v>35</v>
      </c>
      <c r="G205" s="22" t="s">
        <v>920</v>
      </c>
      <c r="H205" s="22" t="s">
        <v>1364</v>
      </c>
      <c r="I205" s="22" t="s">
        <v>1284</v>
      </c>
      <c r="J205" s="18" t="s">
        <v>51</v>
      </c>
    </row>
    <row r="206" spans="1:10" ht="78.75" customHeight="1">
      <c r="A206" s="18" t="s">
        <v>1444</v>
      </c>
      <c r="B206" s="18" t="s">
        <v>163</v>
      </c>
      <c r="C206" s="19" t="s">
        <v>25</v>
      </c>
      <c r="D206" s="19" t="s">
        <v>1445</v>
      </c>
      <c r="E206" s="18" t="s">
        <v>42</v>
      </c>
      <c r="F206" s="18" t="s">
        <v>35</v>
      </c>
      <c r="G206" s="19" t="s">
        <v>920</v>
      </c>
      <c r="H206" s="19" t="s">
        <v>1367</v>
      </c>
      <c r="I206" s="19" t="s">
        <v>1288</v>
      </c>
      <c r="J206" s="18" t="s">
        <v>51</v>
      </c>
    </row>
    <row r="207" spans="1:10" ht="78.75" customHeight="1">
      <c r="A207" s="21" t="s">
        <v>1446</v>
      </c>
      <c r="B207" s="21" t="s">
        <v>168</v>
      </c>
      <c r="C207" s="22" t="s">
        <v>25</v>
      </c>
      <c r="D207" s="22" t="s">
        <v>1447</v>
      </c>
      <c r="E207" s="18" t="s">
        <v>42</v>
      </c>
      <c r="F207" s="21" t="s">
        <v>33</v>
      </c>
      <c r="G207" s="22" t="s">
        <v>1448</v>
      </c>
      <c r="H207" s="22" t="s">
        <v>1449</v>
      </c>
      <c r="I207" s="22" t="s">
        <v>1450</v>
      </c>
      <c r="J207" s="18" t="s">
        <v>51</v>
      </c>
    </row>
    <row r="208" spans="1:10" ht="78.75" customHeight="1">
      <c r="A208" s="18" t="s">
        <v>1451</v>
      </c>
      <c r="B208" s="18" t="s">
        <v>168</v>
      </c>
      <c r="C208" s="19" t="s">
        <v>25</v>
      </c>
      <c r="D208" s="19" t="s">
        <v>1452</v>
      </c>
      <c r="E208" s="18" t="s">
        <v>42</v>
      </c>
      <c r="F208" s="18" t="s">
        <v>33</v>
      </c>
      <c r="G208" s="19" t="s">
        <v>1448</v>
      </c>
      <c r="H208" s="19" t="s">
        <v>1453</v>
      </c>
      <c r="I208" s="19" t="s">
        <v>1454</v>
      </c>
      <c r="J208" s="18" t="s">
        <v>51</v>
      </c>
    </row>
    <row r="209" spans="1:10" ht="78.75" customHeight="1">
      <c r="A209" s="21" t="s">
        <v>1455</v>
      </c>
      <c r="B209" s="21" t="s">
        <v>168</v>
      </c>
      <c r="C209" s="22" t="s">
        <v>25</v>
      </c>
      <c r="D209" s="22" t="s">
        <v>1456</v>
      </c>
      <c r="E209" s="18" t="s">
        <v>42</v>
      </c>
      <c r="F209" s="21" t="s">
        <v>33</v>
      </c>
      <c r="G209" s="22" t="s">
        <v>1448</v>
      </c>
      <c r="H209" s="22" t="s">
        <v>1457</v>
      </c>
      <c r="I209" s="22" t="s">
        <v>1458</v>
      </c>
      <c r="J209" s="18" t="s">
        <v>51</v>
      </c>
    </row>
    <row r="210" spans="1:10" ht="78.75" customHeight="1">
      <c r="A210" s="18" t="s">
        <v>1459</v>
      </c>
      <c r="B210" s="18" t="s">
        <v>168</v>
      </c>
      <c r="C210" s="19" t="s">
        <v>25</v>
      </c>
      <c r="D210" s="19" t="s">
        <v>1460</v>
      </c>
      <c r="E210" s="18" t="s">
        <v>42</v>
      </c>
      <c r="F210" s="18" t="s">
        <v>33</v>
      </c>
      <c r="G210" s="19" t="s">
        <v>1448</v>
      </c>
      <c r="H210" s="19" t="s">
        <v>1461</v>
      </c>
      <c r="I210" s="19" t="s">
        <v>1462</v>
      </c>
      <c r="J210" s="18" t="s">
        <v>51</v>
      </c>
    </row>
    <row r="211" spans="1:10" ht="78.75" customHeight="1">
      <c r="A211" s="21" t="s">
        <v>1463</v>
      </c>
      <c r="B211" s="21" t="s">
        <v>168</v>
      </c>
      <c r="C211" s="22" t="s">
        <v>25</v>
      </c>
      <c r="D211" s="22" t="s">
        <v>1464</v>
      </c>
      <c r="E211" s="18" t="s">
        <v>42</v>
      </c>
      <c r="F211" s="21" t="s">
        <v>33</v>
      </c>
      <c r="G211" s="22" t="s">
        <v>1448</v>
      </c>
      <c r="H211" s="22" t="s">
        <v>1465</v>
      </c>
      <c r="I211" s="22" t="s">
        <v>1466</v>
      </c>
      <c r="J211" s="18" t="s">
        <v>51</v>
      </c>
    </row>
    <row r="212" spans="1:10" ht="78.75" customHeight="1">
      <c r="A212" s="18" t="s">
        <v>1467</v>
      </c>
      <c r="B212" s="18" t="s">
        <v>168</v>
      </c>
      <c r="C212" s="19" t="s">
        <v>25</v>
      </c>
      <c r="D212" s="19" t="s">
        <v>1468</v>
      </c>
      <c r="E212" s="18" t="s">
        <v>42</v>
      </c>
      <c r="F212" s="18" t="s">
        <v>33</v>
      </c>
      <c r="G212" s="19" t="s">
        <v>1448</v>
      </c>
      <c r="H212" s="19" t="s">
        <v>1469</v>
      </c>
      <c r="I212" s="19" t="s">
        <v>1470</v>
      </c>
      <c r="J212" s="18" t="s">
        <v>51</v>
      </c>
    </row>
    <row r="213" spans="1:10" ht="78.75" customHeight="1">
      <c r="A213" s="21" t="s">
        <v>1471</v>
      </c>
      <c r="B213" s="21" t="s">
        <v>168</v>
      </c>
      <c r="C213" s="22" t="s">
        <v>25</v>
      </c>
      <c r="D213" s="22" t="s">
        <v>1472</v>
      </c>
      <c r="E213" s="18" t="s">
        <v>42</v>
      </c>
      <c r="F213" s="21" t="s">
        <v>33</v>
      </c>
      <c r="G213" s="22" t="s">
        <v>1448</v>
      </c>
      <c r="H213" s="22" t="s">
        <v>1473</v>
      </c>
      <c r="I213" s="22" t="s">
        <v>1474</v>
      </c>
      <c r="J213" s="18" t="s">
        <v>51</v>
      </c>
    </row>
    <row r="214" spans="1:10" ht="78.75" customHeight="1">
      <c r="A214" s="18" t="s">
        <v>1475</v>
      </c>
      <c r="B214" s="18" t="s">
        <v>168</v>
      </c>
      <c r="C214" s="19" t="s">
        <v>25</v>
      </c>
      <c r="D214" s="19" t="s">
        <v>1476</v>
      </c>
      <c r="E214" s="18" t="s">
        <v>42</v>
      </c>
      <c r="F214" s="18" t="s">
        <v>33</v>
      </c>
      <c r="G214" s="19" t="s">
        <v>1448</v>
      </c>
      <c r="H214" s="19" t="s">
        <v>1477</v>
      </c>
      <c r="I214" s="19" t="s">
        <v>1478</v>
      </c>
      <c r="J214" s="18" t="s">
        <v>51</v>
      </c>
    </row>
    <row r="215" spans="1:10" ht="48.75" customHeight="1">
      <c r="A215" s="21" t="s">
        <v>1479</v>
      </c>
      <c r="B215" s="21" t="s">
        <v>168</v>
      </c>
      <c r="C215" s="22" t="s">
        <v>25</v>
      </c>
      <c r="D215" s="22" t="s">
        <v>1480</v>
      </c>
      <c r="E215" s="18" t="s">
        <v>46</v>
      </c>
      <c r="F215" s="21" t="s">
        <v>33</v>
      </c>
      <c r="G215" s="22" t="s">
        <v>823</v>
      </c>
      <c r="H215" s="22" t="s">
        <v>1481</v>
      </c>
      <c r="I215" s="22" t="s">
        <v>1482</v>
      </c>
      <c r="J215" s="18" t="s">
        <v>51</v>
      </c>
    </row>
    <row r="216" spans="1:10" ht="48.75" customHeight="1">
      <c r="A216" s="18" t="s">
        <v>1483</v>
      </c>
      <c r="B216" s="18" t="s">
        <v>168</v>
      </c>
      <c r="C216" s="19" t="s">
        <v>25</v>
      </c>
      <c r="D216" s="19" t="s">
        <v>1484</v>
      </c>
      <c r="E216" s="18" t="s">
        <v>46</v>
      </c>
      <c r="F216" s="18" t="s">
        <v>33</v>
      </c>
      <c r="G216" s="19" t="s">
        <v>961</v>
      </c>
      <c r="H216" s="19" t="s">
        <v>1485</v>
      </c>
      <c r="I216" s="19" t="s">
        <v>1482</v>
      </c>
      <c r="J216" s="18" t="s">
        <v>51</v>
      </c>
    </row>
    <row r="217" spans="1:10" ht="78.75" customHeight="1">
      <c r="A217" s="21" t="s">
        <v>1486</v>
      </c>
      <c r="B217" s="21" t="s">
        <v>168</v>
      </c>
      <c r="C217" s="22" t="s">
        <v>25</v>
      </c>
      <c r="D217" s="22" t="s">
        <v>1487</v>
      </c>
      <c r="E217" s="18" t="s">
        <v>44</v>
      </c>
      <c r="F217" s="21" t="s">
        <v>33</v>
      </c>
      <c r="G217" s="22" t="s">
        <v>1448</v>
      </c>
      <c r="H217" s="22" t="s">
        <v>1488</v>
      </c>
      <c r="I217" s="22" t="s">
        <v>1284</v>
      </c>
      <c r="J217" s="18" t="s">
        <v>51</v>
      </c>
    </row>
    <row r="218" spans="1:10" ht="78.75" customHeight="1">
      <c r="A218" s="18" t="s">
        <v>1489</v>
      </c>
      <c r="B218" s="18" t="s">
        <v>168</v>
      </c>
      <c r="C218" s="19" t="s">
        <v>25</v>
      </c>
      <c r="D218" s="19" t="s">
        <v>1490</v>
      </c>
      <c r="E218" s="18" t="s">
        <v>42</v>
      </c>
      <c r="F218" s="18" t="s">
        <v>33</v>
      </c>
      <c r="G218" s="19" t="s">
        <v>1448</v>
      </c>
      <c r="H218" s="19" t="s">
        <v>1491</v>
      </c>
      <c r="I218" s="19" t="s">
        <v>1288</v>
      </c>
      <c r="J218" s="18" t="s">
        <v>51</v>
      </c>
    </row>
    <row r="219" spans="1:10" ht="78.75" customHeight="1">
      <c r="A219" s="21" t="s">
        <v>1492</v>
      </c>
      <c r="B219" s="21" t="s">
        <v>173</v>
      </c>
      <c r="C219" s="22" t="s">
        <v>25</v>
      </c>
      <c r="D219" s="22" t="s">
        <v>1493</v>
      </c>
      <c r="E219" s="18" t="s">
        <v>42</v>
      </c>
      <c r="F219" s="21" t="s">
        <v>33</v>
      </c>
      <c r="G219" s="22" t="s">
        <v>920</v>
      </c>
      <c r="H219" s="22" t="s">
        <v>1494</v>
      </c>
      <c r="I219" s="22" t="s">
        <v>1495</v>
      </c>
      <c r="J219" s="18" t="s">
        <v>51</v>
      </c>
    </row>
    <row r="220" spans="1:10" ht="78.75" customHeight="1">
      <c r="A220" s="18" t="s">
        <v>1496</v>
      </c>
      <c r="B220" s="18" t="s">
        <v>173</v>
      </c>
      <c r="C220" s="19" t="s">
        <v>25</v>
      </c>
      <c r="D220" s="19" t="s">
        <v>1497</v>
      </c>
      <c r="E220" s="18" t="s">
        <v>42</v>
      </c>
      <c r="F220" s="18" t="s">
        <v>33</v>
      </c>
      <c r="G220" s="19" t="s">
        <v>920</v>
      </c>
      <c r="H220" s="19" t="s">
        <v>1498</v>
      </c>
      <c r="I220" s="19" t="s">
        <v>1499</v>
      </c>
      <c r="J220" s="18" t="s">
        <v>51</v>
      </c>
    </row>
    <row r="221" spans="1:10" ht="78.75" customHeight="1">
      <c r="A221" s="21" t="s">
        <v>1500</v>
      </c>
      <c r="B221" s="21" t="s">
        <v>173</v>
      </c>
      <c r="C221" s="22" t="s">
        <v>25</v>
      </c>
      <c r="D221" s="22" t="s">
        <v>1501</v>
      </c>
      <c r="E221" s="18" t="s">
        <v>42</v>
      </c>
      <c r="F221" s="21" t="s">
        <v>33</v>
      </c>
      <c r="G221" s="22" t="s">
        <v>920</v>
      </c>
      <c r="H221" s="22" t="s">
        <v>1502</v>
      </c>
      <c r="I221" s="22" t="s">
        <v>1503</v>
      </c>
      <c r="J221" s="18" t="s">
        <v>51</v>
      </c>
    </row>
    <row r="222" spans="1:10" ht="78.75" customHeight="1">
      <c r="A222" s="18" t="s">
        <v>1504</v>
      </c>
      <c r="B222" s="18" t="s">
        <v>173</v>
      </c>
      <c r="C222" s="19" t="s">
        <v>25</v>
      </c>
      <c r="D222" s="19" t="s">
        <v>1505</v>
      </c>
      <c r="E222" s="18" t="s">
        <v>42</v>
      </c>
      <c r="F222" s="18" t="s">
        <v>33</v>
      </c>
      <c r="G222" s="19" t="s">
        <v>920</v>
      </c>
      <c r="H222" s="19" t="s">
        <v>1506</v>
      </c>
      <c r="I222" s="19" t="s">
        <v>808</v>
      </c>
      <c r="J222" s="18" t="s">
        <v>51</v>
      </c>
    </row>
    <row r="223" spans="1:10" ht="48.75" customHeight="1">
      <c r="A223" s="21" t="s">
        <v>1507</v>
      </c>
      <c r="B223" s="21" t="s">
        <v>173</v>
      </c>
      <c r="C223" s="22" t="s">
        <v>25</v>
      </c>
      <c r="D223" s="22" t="s">
        <v>1508</v>
      </c>
      <c r="E223" s="18" t="s">
        <v>46</v>
      </c>
      <c r="F223" s="21" t="s">
        <v>33</v>
      </c>
      <c r="G223" s="22" t="s">
        <v>920</v>
      </c>
      <c r="H223" s="22" t="s">
        <v>1509</v>
      </c>
      <c r="I223" s="22" t="s">
        <v>812</v>
      </c>
      <c r="J223" s="18" t="s">
        <v>51</v>
      </c>
    </row>
    <row r="224" spans="1:10" ht="93.75" customHeight="1">
      <c r="A224" s="18" t="s">
        <v>1510</v>
      </c>
      <c r="B224" s="18" t="s">
        <v>173</v>
      </c>
      <c r="C224" s="19" t="s">
        <v>25</v>
      </c>
      <c r="D224" s="19" t="s">
        <v>1511</v>
      </c>
      <c r="E224" s="18" t="s">
        <v>44</v>
      </c>
      <c r="F224" s="18" t="s">
        <v>33</v>
      </c>
      <c r="G224" s="19" t="s">
        <v>920</v>
      </c>
      <c r="H224" s="19" t="s">
        <v>1512</v>
      </c>
      <c r="I224" s="19" t="s">
        <v>816</v>
      </c>
      <c r="J224" s="18" t="s">
        <v>51</v>
      </c>
    </row>
    <row r="225" spans="1:10" ht="78.75" customHeight="1">
      <c r="A225" s="21" t="s">
        <v>1513</v>
      </c>
      <c r="B225" s="21" t="s">
        <v>173</v>
      </c>
      <c r="C225" s="22" t="s">
        <v>25</v>
      </c>
      <c r="D225" s="22" t="s">
        <v>1514</v>
      </c>
      <c r="E225" s="18" t="s">
        <v>44</v>
      </c>
      <c r="F225" s="21" t="s">
        <v>33</v>
      </c>
      <c r="G225" s="22" t="s">
        <v>920</v>
      </c>
      <c r="H225" s="22" t="s">
        <v>1515</v>
      </c>
      <c r="I225" s="22" t="s">
        <v>820</v>
      </c>
      <c r="J225" s="18" t="s">
        <v>51</v>
      </c>
    </row>
    <row r="226" spans="1:10" ht="48.75" customHeight="1">
      <c r="A226" s="18" t="s">
        <v>1516</v>
      </c>
      <c r="B226" s="18" t="s">
        <v>173</v>
      </c>
      <c r="C226" s="19" t="s">
        <v>25</v>
      </c>
      <c r="D226" s="19" t="s">
        <v>1517</v>
      </c>
      <c r="E226" s="18" t="s">
        <v>46</v>
      </c>
      <c r="F226" s="18" t="s">
        <v>33</v>
      </c>
      <c r="G226" s="19" t="s">
        <v>823</v>
      </c>
      <c r="H226" s="19" t="s">
        <v>1518</v>
      </c>
      <c r="I226" s="19" t="s">
        <v>958</v>
      </c>
      <c r="J226" s="18" t="s">
        <v>51</v>
      </c>
    </row>
    <row r="227" spans="1:10" ht="48.75" customHeight="1">
      <c r="A227" s="21" t="s">
        <v>1519</v>
      </c>
      <c r="B227" s="21" t="s">
        <v>173</v>
      </c>
      <c r="C227" s="22" t="s">
        <v>25</v>
      </c>
      <c r="D227" s="22" t="s">
        <v>1520</v>
      </c>
      <c r="E227" s="18" t="s">
        <v>46</v>
      </c>
      <c r="F227" s="21" t="s">
        <v>33</v>
      </c>
      <c r="G227" s="22" t="s">
        <v>961</v>
      </c>
      <c r="H227" s="22" t="s">
        <v>1521</v>
      </c>
      <c r="I227" s="22" t="s">
        <v>958</v>
      </c>
      <c r="J227" s="18" t="s">
        <v>51</v>
      </c>
    </row>
    <row r="228" spans="1:10" ht="48.75" customHeight="1">
      <c r="A228" s="18" t="s">
        <v>1522</v>
      </c>
      <c r="B228" s="18" t="s">
        <v>173</v>
      </c>
      <c r="C228" s="19" t="s">
        <v>25</v>
      </c>
      <c r="D228" s="19" t="s">
        <v>1523</v>
      </c>
      <c r="E228" s="18" t="s">
        <v>46</v>
      </c>
      <c r="F228" s="18" t="s">
        <v>33</v>
      </c>
      <c r="G228" s="19" t="s">
        <v>828</v>
      </c>
      <c r="H228" s="19" t="s">
        <v>1524</v>
      </c>
      <c r="I228" s="19" t="s">
        <v>958</v>
      </c>
      <c r="J228" s="18" t="s">
        <v>51</v>
      </c>
    </row>
    <row r="229" spans="1:10" ht="78.75" customHeight="1">
      <c r="A229" s="21" t="s">
        <v>1525</v>
      </c>
      <c r="B229" s="21" t="s">
        <v>178</v>
      </c>
      <c r="C229" s="22" t="s">
        <v>25</v>
      </c>
      <c r="D229" s="22" t="s">
        <v>1526</v>
      </c>
      <c r="E229" s="18" t="s">
        <v>42</v>
      </c>
      <c r="F229" s="21" t="s">
        <v>37</v>
      </c>
      <c r="G229" s="22" t="s">
        <v>920</v>
      </c>
      <c r="H229" s="22" t="s">
        <v>1527</v>
      </c>
      <c r="I229" s="22" t="s">
        <v>1528</v>
      </c>
      <c r="J229" s="18" t="s">
        <v>51</v>
      </c>
    </row>
    <row r="230" spans="1:10" ht="78.75" customHeight="1">
      <c r="A230" s="18" t="s">
        <v>1529</v>
      </c>
      <c r="B230" s="18" t="s">
        <v>178</v>
      </c>
      <c r="C230" s="19" t="s">
        <v>25</v>
      </c>
      <c r="D230" s="19" t="s">
        <v>1530</v>
      </c>
      <c r="E230" s="18" t="s">
        <v>42</v>
      </c>
      <c r="F230" s="18" t="s">
        <v>37</v>
      </c>
      <c r="G230" s="19" t="s">
        <v>920</v>
      </c>
      <c r="H230" s="19" t="s">
        <v>1531</v>
      </c>
      <c r="I230" s="19" t="s">
        <v>1532</v>
      </c>
      <c r="J230" s="18" t="s">
        <v>51</v>
      </c>
    </row>
    <row r="231" spans="1:10" ht="78.75" customHeight="1">
      <c r="A231" s="21" t="s">
        <v>1533</v>
      </c>
      <c r="B231" s="21" t="s">
        <v>178</v>
      </c>
      <c r="C231" s="22" t="s">
        <v>25</v>
      </c>
      <c r="D231" s="22" t="s">
        <v>1534</v>
      </c>
      <c r="E231" s="18" t="s">
        <v>42</v>
      </c>
      <c r="F231" s="21" t="s">
        <v>37</v>
      </c>
      <c r="G231" s="22" t="s">
        <v>920</v>
      </c>
      <c r="H231" s="22" t="s">
        <v>1535</v>
      </c>
      <c r="I231" s="22" t="s">
        <v>1536</v>
      </c>
      <c r="J231" s="18" t="s">
        <v>51</v>
      </c>
    </row>
    <row r="232" spans="1:10" ht="78.75" customHeight="1">
      <c r="A232" s="18" t="s">
        <v>1537</v>
      </c>
      <c r="B232" s="18" t="s">
        <v>178</v>
      </c>
      <c r="C232" s="19" t="s">
        <v>25</v>
      </c>
      <c r="D232" s="19" t="s">
        <v>1538</v>
      </c>
      <c r="E232" s="18" t="s">
        <v>42</v>
      </c>
      <c r="F232" s="18" t="s">
        <v>37</v>
      </c>
      <c r="G232" s="19" t="s">
        <v>920</v>
      </c>
      <c r="H232" s="19" t="s">
        <v>1539</v>
      </c>
      <c r="I232" s="19" t="s">
        <v>1540</v>
      </c>
      <c r="J232" s="18" t="s">
        <v>51</v>
      </c>
    </row>
    <row r="233" spans="1:10" ht="48.75" customHeight="1">
      <c r="A233" s="21" t="s">
        <v>1541</v>
      </c>
      <c r="B233" s="21" t="s">
        <v>178</v>
      </c>
      <c r="C233" s="22" t="s">
        <v>25</v>
      </c>
      <c r="D233" s="22" t="s">
        <v>1542</v>
      </c>
      <c r="E233" s="18" t="s">
        <v>46</v>
      </c>
      <c r="F233" s="21" t="s">
        <v>37</v>
      </c>
      <c r="G233" s="22" t="s">
        <v>823</v>
      </c>
      <c r="H233" s="22" t="s">
        <v>1543</v>
      </c>
      <c r="I233" s="22" t="s">
        <v>958</v>
      </c>
      <c r="J233" s="18" t="s">
        <v>51</v>
      </c>
    </row>
    <row r="234" spans="1:10" ht="48.75" customHeight="1">
      <c r="A234" s="18" t="s">
        <v>1544</v>
      </c>
      <c r="B234" s="18" t="s">
        <v>178</v>
      </c>
      <c r="C234" s="19" t="s">
        <v>25</v>
      </c>
      <c r="D234" s="19" t="s">
        <v>1545</v>
      </c>
      <c r="E234" s="18" t="s">
        <v>46</v>
      </c>
      <c r="F234" s="18" t="s">
        <v>37</v>
      </c>
      <c r="G234" s="19" t="s">
        <v>961</v>
      </c>
      <c r="H234" s="19" t="s">
        <v>1546</v>
      </c>
      <c r="I234" s="19" t="s">
        <v>958</v>
      </c>
      <c r="J234" s="18" t="s">
        <v>51</v>
      </c>
    </row>
    <row r="235" spans="1:10" ht="48.75" customHeight="1">
      <c r="A235" s="21" t="s">
        <v>1547</v>
      </c>
      <c r="B235" s="21" t="s">
        <v>178</v>
      </c>
      <c r="C235" s="22" t="s">
        <v>25</v>
      </c>
      <c r="D235" s="22" t="s">
        <v>1548</v>
      </c>
      <c r="E235" s="18" t="s">
        <v>46</v>
      </c>
      <c r="F235" s="21" t="s">
        <v>37</v>
      </c>
      <c r="G235" s="22" t="s">
        <v>828</v>
      </c>
      <c r="H235" s="22" t="s">
        <v>1549</v>
      </c>
      <c r="I235" s="22" t="s">
        <v>958</v>
      </c>
      <c r="J235" s="18" t="s">
        <v>51</v>
      </c>
    </row>
    <row r="236" spans="1:10" ht="78.75" customHeight="1">
      <c r="A236" s="18" t="s">
        <v>1550</v>
      </c>
      <c r="B236" s="18" t="s">
        <v>182</v>
      </c>
      <c r="C236" s="19" t="s">
        <v>25</v>
      </c>
      <c r="D236" s="19" t="s">
        <v>1551</v>
      </c>
      <c r="E236" s="18" t="s">
        <v>42</v>
      </c>
      <c r="F236" s="18" t="s">
        <v>35</v>
      </c>
      <c r="G236" s="19" t="s">
        <v>920</v>
      </c>
      <c r="H236" s="19" t="s">
        <v>1552</v>
      </c>
      <c r="I236" s="19" t="s">
        <v>1553</v>
      </c>
      <c r="J236" s="18" t="s">
        <v>51</v>
      </c>
    </row>
    <row r="237" spans="1:10" ht="78.75" customHeight="1">
      <c r="A237" s="21" t="s">
        <v>1554</v>
      </c>
      <c r="B237" s="21" t="s">
        <v>182</v>
      </c>
      <c r="C237" s="22" t="s">
        <v>25</v>
      </c>
      <c r="D237" s="22" t="s">
        <v>1555</v>
      </c>
      <c r="E237" s="18" t="s">
        <v>42</v>
      </c>
      <c r="F237" s="21" t="s">
        <v>35</v>
      </c>
      <c r="G237" s="22" t="s">
        <v>920</v>
      </c>
      <c r="H237" s="22" t="s">
        <v>1556</v>
      </c>
      <c r="I237" s="22" t="s">
        <v>1557</v>
      </c>
      <c r="J237" s="18" t="s">
        <v>51</v>
      </c>
    </row>
    <row r="238" spans="1:10" ht="78.75" customHeight="1">
      <c r="A238" s="18" t="s">
        <v>1558</v>
      </c>
      <c r="B238" s="18" t="s">
        <v>182</v>
      </c>
      <c r="C238" s="19" t="s">
        <v>25</v>
      </c>
      <c r="D238" s="19" t="s">
        <v>1559</v>
      </c>
      <c r="E238" s="18" t="s">
        <v>42</v>
      </c>
      <c r="F238" s="18" t="s">
        <v>35</v>
      </c>
      <c r="G238" s="19" t="s">
        <v>920</v>
      </c>
      <c r="H238" s="19" t="s">
        <v>1560</v>
      </c>
      <c r="I238" s="19" t="s">
        <v>1561</v>
      </c>
      <c r="J238" s="18" t="s">
        <v>51</v>
      </c>
    </row>
    <row r="239" spans="1:10" ht="78.75" customHeight="1">
      <c r="A239" s="21" t="s">
        <v>1562</v>
      </c>
      <c r="B239" s="21" t="s">
        <v>182</v>
      </c>
      <c r="C239" s="22" t="s">
        <v>25</v>
      </c>
      <c r="D239" s="22" t="s">
        <v>1563</v>
      </c>
      <c r="E239" s="18" t="s">
        <v>42</v>
      </c>
      <c r="F239" s="21" t="s">
        <v>35</v>
      </c>
      <c r="G239" s="22" t="s">
        <v>920</v>
      </c>
      <c r="H239" s="22" t="s">
        <v>1564</v>
      </c>
      <c r="I239" s="22" t="s">
        <v>1565</v>
      </c>
      <c r="J239" s="18" t="s">
        <v>51</v>
      </c>
    </row>
    <row r="240" spans="1:10" ht="48.75" customHeight="1">
      <c r="A240" s="18" t="s">
        <v>1566</v>
      </c>
      <c r="B240" s="18" t="s">
        <v>182</v>
      </c>
      <c r="C240" s="19" t="s">
        <v>25</v>
      </c>
      <c r="D240" s="19" t="s">
        <v>1567</v>
      </c>
      <c r="E240" s="18" t="s">
        <v>46</v>
      </c>
      <c r="F240" s="18" t="s">
        <v>35</v>
      </c>
      <c r="G240" s="19" t="s">
        <v>823</v>
      </c>
      <c r="H240" s="19" t="s">
        <v>1568</v>
      </c>
      <c r="I240" s="19" t="s">
        <v>958</v>
      </c>
      <c r="J240" s="18" t="s">
        <v>51</v>
      </c>
    </row>
    <row r="241" spans="1:10" ht="48.75" customHeight="1">
      <c r="A241" s="21" t="s">
        <v>1569</v>
      </c>
      <c r="B241" s="21" t="s">
        <v>182</v>
      </c>
      <c r="C241" s="22" t="s">
        <v>25</v>
      </c>
      <c r="D241" s="22" t="s">
        <v>1570</v>
      </c>
      <c r="E241" s="18" t="s">
        <v>46</v>
      </c>
      <c r="F241" s="21" t="s">
        <v>35</v>
      </c>
      <c r="G241" s="22" t="s">
        <v>961</v>
      </c>
      <c r="H241" s="22" t="s">
        <v>1571</v>
      </c>
      <c r="I241" s="22" t="s">
        <v>958</v>
      </c>
      <c r="J241" s="18" t="s">
        <v>51</v>
      </c>
    </row>
    <row r="242" spans="1:10" ht="48.75" customHeight="1">
      <c r="A242" s="18" t="s">
        <v>1572</v>
      </c>
      <c r="B242" s="18" t="s">
        <v>182</v>
      </c>
      <c r="C242" s="19" t="s">
        <v>25</v>
      </c>
      <c r="D242" s="19" t="s">
        <v>1573</v>
      </c>
      <c r="E242" s="18" t="s">
        <v>46</v>
      </c>
      <c r="F242" s="18" t="s">
        <v>35</v>
      </c>
      <c r="G242" s="19" t="s">
        <v>828</v>
      </c>
      <c r="H242" s="19" t="s">
        <v>1574</v>
      </c>
      <c r="I242" s="19" t="s">
        <v>958</v>
      </c>
      <c r="J242" s="18" t="s">
        <v>51</v>
      </c>
    </row>
    <row r="243" spans="1:10" ht="78.75" customHeight="1">
      <c r="A243" s="21" t="s">
        <v>1575</v>
      </c>
      <c r="B243" s="21" t="s">
        <v>182</v>
      </c>
      <c r="C243" s="22" t="s">
        <v>25</v>
      </c>
      <c r="D243" s="22" t="s">
        <v>1576</v>
      </c>
      <c r="E243" s="18" t="s">
        <v>44</v>
      </c>
      <c r="F243" s="21" t="s">
        <v>35</v>
      </c>
      <c r="G243" s="22" t="s">
        <v>920</v>
      </c>
      <c r="H243" s="22" t="s">
        <v>1364</v>
      </c>
      <c r="I243" s="22" t="s">
        <v>1284</v>
      </c>
      <c r="J243" s="18" t="s">
        <v>51</v>
      </c>
    </row>
    <row r="244" spans="1:10" ht="78.75" customHeight="1">
      <c r="A244" s="18" t="s">
        <v>1577</v>
      </c>
      <c r="B244" s="18" t="s">
        <v>182</v>
      </c>
      <c r="C244" s="19" t="s">
        <v>25</v>
      </c>
      <c r="D244" s="19" t="s">
        <v>1578</v>
      </c>
      <c r="E244" s="18" t="s">
        <v>42</v>
      </c>
      <c r="F244" s="18" t="s">
        <v>35</v>
      </c>
      <c r="G244" s="19" t="s">
        <v>920</v>
      </c>
      <c r="H244" s="19" t="s">
        <v>1367</v>
      </c>
      <c r="I244" s="19" t="s">
        <v>1288</v>
      </c>
      <c r="J244" s="18" t="s">
        <v>51</v>
      </c>
    </row>
    <row r="245" spans="1:10" ht="78.75" customHeight="1">
      <c r="A245" s="21" t="s">
        <v>1579</v>
      </c>
      <c r="B245" s="21" t="s">
        <v>186</v>
      </c>
      <c r="C245" s="22" t="s">
        <v>25</v>
      </c>
      <c r="D245" s="22" t="s">
        <v>1580</v>
      </c>
      <c r="E245" s="18" t="s">
        <v>42</v>
      </c>
      <c r="F245" s="21" t="s">
        <v>39</v>
      </c>
      <c r="G245" s="22" t="s">
        <v>920</v>
      </c>
      <c r="H245" s="22" t="s">
        <v>1581</v>
      </c>
      <c r="I245" s="22" t="s">
        <v>1582</v>
      </c>
      <c r="J245" s="18" t="s">
        <v>51</v>
      </c>
    </row>
    <row r="246" spans="1:10" ht="78.75" customHeight="1">
      <c r="A246" s="18" t="s">
        <v>1583</v>
      </c>
      <c r="B246" s="18" t="s">
        <v>186</v>
      </c>
      <c r="C246" s="19" t="s">
        <v>25</v>
      </c>
      <c r="D246" s="19" t="s">
        <v>1584</v>
      </c>
      <c r="E246" s="18" t="s">
        <v>42</v>
      </c>
      <c r="F246" s="18" t="s">
        <v>39</v>
      </c>
      <c r="G246" s="19" t="s">
        <v>920</v>
      </c>
      <c r="H246" s="19" t="s">
        <v>1585</v>
      </c>
      <c r="I246" s="19" t="s">
        <v>1586</v>
      </c>
      <c r="J246" s="18" t="s">
        <v>51</v>
      </c>
    </row>
    <row r="247" spans="1:10" ht="78.75" customHeight="1">
      <c r="A247" s="21" t="s">
        <v>1587</v>
      </c>
      <c r="B247" s="21" t="s">
        <v>186</v>
      </c>
      <c r="C247" s="22" t="s">
        <v>25</v>
      </c>
      <c r="D247" s="22" t="s">
        <v>1588</v>
      </c>
      <c r="E247" s="18" t="s">
        <v>42</v>
      </c>
      <c r="F247" s="21" t="s">
        <v>39</v>
      </c>
      <c r="G247" s="22" t="s">
        <v>920</v>
      </c>
      <c r="H247" s="22" t="s">
        <v>1589</v>
      </c>
      <c r="I247" s="22" t="s">
        <v>1590</v>
      </c>
      <c r="J247" s="18" t="s">
        <v>51</v>
      </c>
    </row>
    <row r="248" spans="1:10" ht="48.75" customHeight="1">
      <c r="A248" s="18" t="s">
        <v>1591</v>
      </c>
      <c r="B248" s="18" t="s">
        <v>186</v>
      </c>
      <c r="C248" s="19" t="s">
        <v>25</v>
      </c>
      <c r="D248" s="19" t="s">
        <v>1592</v>
      </c>
      <c r="E248" s="18" t="s">
        <v>46</v>
      </c>
      <c r="F248" s="18" t="s">
        <v>39</v>
      </c>
      <c r="G248" s="19" t="s">
        <v>823</v>
      </c>
      <c r="H248" s="19" t="s">
        <v>1593</v>
      </c>
      <c r="I248" s="19" t="s">
        <v>958</v>
      </c>
      <c r="J248" s="18" t="s">
        <v>51</v>
      </c>
    </row>
    <row r="249" spans="1:10" ht="48.75" customHeight="1">
      <c r="A249" s="21" t="s">
        <v>1594</v>
      </c>
      <c r="B249" s="21" t="s">
        <v>186</v>
      </c>
      <c r="C249" s="22" t="s">
        <v>25</v>
      </c>
      <c r="D249" s="22" t="s">
        <v>1595</v>
      </c>
      <c r="E249" s="18" t="s">
        <v>46</v>
      </c>
      <c r="F249" s="21" t="s">
        <v>39</v>
      </c>
      <c r="G249" s="22" t="s">
        <v>961</v>
      </c>
      <c r="H249" s="22" t="s">
        <v>1596</v>
      </c>
      <c r="I249" s="22" t="s">
        <v>958</v>
      </c>
      <c r="J249" s="18" t="s">
        <v>51</v>
      </c>
    </row>
    <row r="250" spans="1:10" ht="48.75" customHeight="1">
      <c r="A250" s="18" t="s">
        <v>1597</v>
      </c>
      <c r="B250" s="18" t="s">
        <v>186</v>
      </c>
      <c r="C250" s="19" t="s">
        <v>25</v>
      </c>
      <c r="D250" s="19" t="s">
        <v>1598</v>
      </c>
      <c r="E250" s="18" t="s">
        <v>46</v>
      </c>
      <c r="F250" s="18" t="s">
        <v>39</v>
      </c>
      <c r="G250" s="19" t="s">
        <v>828</v>
      </c>
      <c r="H250" s="19" t="s">
        <v>1599</v>
      </c>
      <c r="I250" s="19" t="s">
        <v>958</v>
      </c>
      <c r="J250" s="18" t="s">
        <v>51</v>
      </c>
    </row>
    <row r="251" spans="1:10" ht="78.75" customHeight="1">
      <c r="A251" s="21" t="s">
        <v>1600</v>
      </c>
      <c r="B251" s="21" t="s">
        <v>186</v>
      </c>
      <c r="C251" s="22" t="s">
        <v>25</v>
      </c>
      <c r="D251" s="22" t="s">
        <v>1601</v>
      </c>
      <c r="E251" s="18" t="s">
        <v>44</v>
      </c>
      <c r="F251" s="21" t="s">
        <v>39</v>
      </c>
      <c r="G251" s="22" t="s">
        <v>920</v>
      </c>
      <c r="H251" s="22" t="s">
        <v>1364</v>
      </c>
      <c r="I251" s="22" t="s">
        <v>1284</v>
      </c>
      <c r="J251" s="18" t="s">
        <v>51</v>
      </c>
    </row>
    <row r="252" spans="1:10" ht="78.75" customHeight="1">
      <c r="A252" s="18" t="s">
        <v>1602</v>
      </c>
      <c r="B252" s="18" t="s">
        <v>186</v>
      </c>
      <c r="C252" s="19" t="s">
        <v>25</v>
      </c>
      <c r="D252" s="19" t="s">
        <v>1603</v>
      </c>
      <c r="E252" s="18" t="s">
        <v>42</v>
      </c>
      <c r="F252" s="18" t="s">
        <v>39</v>
      </c>
      <c r="G252" s="19" t="s">
        <v>920</v>
      </c>
      <c r="H252" s="19" t="s">
        <v>1367</v>
      </c>
      <c r="I252" s="19" t="s">
        <v>1288</v>
      </c>
      <c r="J252" s="18" t="s">
        <v>51</v>
      </c>
    </row>
    <row r="253" spans="1:10" ht="123.75" customHeight="1">
      <c r="A253" s="21" t="s">
        <v>1604</v>
      </c>
      <c r="B253" s="21" t="s">
        <v>190</v>
      </c>
      <c r="C253" s="22" t="s">
        <v>25</v>
      </c>
      <c r="D253" s="22" t="s">
        <v>1605</v>
      </c>
      <c r="E253" s="18" t="s">
        <v>42</v>
      </c>
      <c r="F253" s="21" t="s">
        <v>33</v>
      </c>
      <c r="G253" s="22" t="s">
        <v>1606</v>
      </c>
      <c r="H253" s="22" t="s">
        <v>1607</v>
      </c>
      <c r="I253" s="22" t="s">
        <v>716</v>
      </c>
      <c r="J253" s="18" t="s">
        <v>51</v>
      </c>
    </row>
    <row r="254" spans="1:10" ht="93.75" customHeight="1">
      <c r="A254" s="18" t="s">
        <v>1608</v>
      </c>
      <c r="B254" s="18" t="s">
        <v>190</v>
      </c>
      <c r="C254" s="19" t="s">
        <v>25</v>
      </c>
      <c r="D254" s="19" t="s">
        <v>1609</v>
      </c>
      <c r="E254" s="18" t="s">
        <v>42</v>
      </c>
      <c r="F254" s="18" t="s">
        <v>33</v>
      </c>
      <c r="G254" s="19" t="s">
        <v>1606</v>
      </c>
      <c r="H254" s="19" t="s">
        <v>1610</v>
      </c>
      <c r="I254" s="19" t="s">
        <v>1611</v>
      </c>
      <c r="J254" s="18" t="s">
        <v>51</v>
      </c>
    </row>
    <row r="255" spans="1:10" ht="93.75" customHeight="1">
      <c r="A255" s="21" t="s">
        <v>1612</v>
      </c>
      <c r="B255" s="21" t="s">
        <v>190</v>
      </c>
      <c r="C255" s="22" t="s">
        <v>25</v>
      </c>
      <c r="D255" s="22" t="s">
        <v>1613</v>
      </c>
      <c r="E255" s="18" t="s">
        <v>44</v>
      </c>
      <c r="F255" s="21" t="s">
        <v>33</v>
      </c>
      <c r="G255" s="22" t="s">
        <v>1606</v>
      </c>
      <c r="H255" s="22" t="s">
        <v>1614</v>
      </c>
      <c r="I255" s="22" t="s">
        <v>1615</v>
      </c>
      <c r="J255" s="18" t="s">
        <v>51</v>
      </c>
    </row>
    <row r="256" spans="1:10" ht="93.75" customHeight="1">
      <c r="A256" s="18" t="s">
        <v>1616</v>
      </c>
      <c r="B256" s="18" t="s">
        <v>190</v>
      </c>
      <c r="C256" s="19" t="s">
        <v>25</v>
      </c>
      <c r="D256" s="19" t="s">
        <v>1617</v>
      </c>
      <c r="E256" s="18" t="s">
        <v>42</v>
      </c>
      <c r="F256" s="18" t="s">
        <v>33</v>
      </c>
      <c r="G256" s="19" t="s">
        <v>1606</v>
      </c>
      <c r="H256" s="19" t="s">
        <v>1618</v>
      </c>
      <c r="I256" s="19" t="s">
        <v>1619</v>
      </c>
      <c r="J256" s="18" t="s">
        <v>51</v>
      </c>
    </row>
    <row r="257" spans="1:10" ht="93.75" customHeight="1">
      <c r="A257" s="21" t="s">
        <v>1620</v>
      </c>
      <c r="B257" s="21" t="s">
        <v>190</v>
      </c>
      <c r="C257" s="22" t="s">
        <v>25</v>
      </c>
      <c r="D257" s="22" t="s">
        <v>1621</v>
      </c>
      <c r="E257" s="18" t="s">
        <v>42</v>
      </c>
      <c r="F257" s="21" t="s">
        <v>33</v>
      </c>
      <c r="G257" s="22" t="s">
        <v>1606</v>
      </c>
      <c r="H257" s="22" t="s">
        <v>1622</v>
      </c>
      <c r="I257" s="22" t="s">
        <v>1623</v>
      </c>
      <c r="J257" s="18" t="s">
        <v>51</v>
      </c>
    </row>
    <row r="258" spans="1:10" ht="93.75" customHeight="1">
      <c r="A258" s="18" t="s">
        <v>1624</v>
      </c>
      <c r="B258" s="18" t="s">
        <v>190</v>
      </c>
      <c r="C258" s="19" t="s">
        <v>25</v>
      </c>
      <c r="D258" s="19" t="s">
        <v>1625</v>
      </c>
      <c r="E258" s="18" t="s">
        <v>42</v>
      </c>
      <c r="F258" s="18" t="s">
        <v>33</v>
      </c>
      <c r="G258" s="19" t="s">
        <v>1606</v>
      </c>
      <c r="H258" s="19" t="s">
        <v>1626</v>
      </c>
      <c r="I258" s="19" t="s">
        <v>1627</v>
      </c>
      <c r="J258" s="18" t="s">
        <v>51</v>
      </c>
    </row>
    <row r="259" spans="1:10" ht="93.75" customHeight="1">
      <c r="A259" s="21" t="s">
        <v>1628</v>
      </c>
      <c r="B259" s="21" t="s">
        <v>190</v>
      </c>
      <c r="C259" s="22" t="s">
        <v>25</v>
      </c>
      <c r="D259" s="22" t="s">
        <v>1629</v>
      </c>
      <c r="E259" s="18" t="s">
        <v>44</v>
      </c>
      <c r="F259" s="21" t="s">
        <v>33</v>
      </c>
      <c r="G259" s="22" t="s">
        <v>1606</v>
      </c>
      <c r="H259" s="22" t="s">
        <v>1630</v>
      </c>
      <c r="I259" s="22" t="s">
        <v>1631</v>
      </c>
      <c r="J259" s="18" t="s">
        <v>51</v>
      </c>
    </row>
    <row r="260" spans="1:10" ht="108.75" customHeight="1">
      <c r="A260" s="18" t="s">
        <v>1632</v>
      </c>
      <c r="B260" s="18" t="s">
        <v>190</v>
      </c>
      <c r="C260" s="19" t="s">
        <v>25</v>
      </c>
      <c r="D260" s="19" t="s">
        <v>1633</v>
      </c>
      <c r="E260" s="18" t="s">
        <v>44</v>
      </c>
      <c r="F260" s="18" t="s">
        <v>33</v>
      </c>
      <c r="G260" s="19" t="s">
        <v>1606</v>
      </c>
      <c r="H260" s="19" t="s">
        <v>1634</v>
      </c>
      <c r="I260" s="19" t="s">
        <v>1635</v>
      </c>
      <c r="J260" s="18" t="s">
        <v>51</v>
      </c>
    </row>
    <row r="261" spans="1:10" ht="93.75" customHeight="1">
      <c r="A261" s="21" t="s">
        <v>1636</v>
      </c>
      <c r="B261" s="21" t="s">
        <v>190</v>
      </c>
      <c r="C261" s="22" t="s">
        <v>25</v>
      </c>
      <c r="D261" s="22" t="s">
        <v>1637</v>
      </c>
      <c r="E261" s="18" t="s">
        <v>44</v>
      </c>
      <c r="F261" s="21" t="s">
        <v>33</v>
      </c>
      <c r="G261" s="22" t="s">
        <v>1606</v>
      </c>
      <c r="H261" s="22" t="s">
        <v>1638</v>
      </c>
      <c r="I261" s="22" t="s">
        <v>1639</v>
      </c>
      <c r="J261" s="18" t="s">
        <v>51</v>
      </c>
    </row>
    <row r="262" spans="1:10" ht="78.75" customHeight="1">
      <c r="A262" s="18" t="s">
        <v>1640</v>
      </c>
      <c r="B262" s="18" t="s">
        <v>190</v>
      </c>
      <c r="C262" s="19" t="s">
        <v>25</v>
      </c>
      <c r="D262" s="19" t="s">
        <v>1641</v>
      </c>
      <c r="E262" s="18" t="s">
        <v>42</v>
      </c>
      <c r="F262" s="18" t="s">
        <v>33</v>
      </c>
      <c r="G262" s="19" t="s">
        <v>1606</v>
      </c>
      <c r="H262" s="19" t="s">
        <v>1642</v>
      </c>
      <c r="I262" s="19" t="s">
        <v>808</v>
      </c>
      <c r="J262" s="18" t="s">
        <v>51</v>
      </c>
    </row>
    <row r="263" spans="1:10" ht="63.75" customHeight="1">
      <c r="A263" s="21" t="s">
        <v>1643</v>
      </c>
      <c r="B263" s="21" t="s">
        <v>190</v>
      </c>
      <c r="C263" s="22" t="s">
        <v>25</v>
      </c>
      <c r="D263" s="22" t="s">
        <v>1644</v>
      </c>
      <c r="E263" s="18" t="s">
        <v>46</v>
      </c>
      <c r="F263" s="21" t="s">
        <v>33</v>
      </c>
      <c r="G263" s="22" t="s">
        <v>1606</v>
      </c>
      <c r="H263" s="22" t="s">
        <v>1645</v>
      </c>
      <c r="I263" s="22" t="s">
        <v>812</v>
      </c>
      <c r="J263" s="18" t="s">
        <v>51</v>
      </c>
    </row>
    <row r="264" spans="1:10" ht="93.75" customHeight="1">
      <c r="A264" s="18" t="s">
        <v>1646</v>
      </c>
      <c r="B264" s="18" t="s">
        <v>190</v>
      </c>
      <c r="C264" s="19" t="s">
        <v>25</v>
      </c>
      <c r="D264" s="19" t="s">
        <v>1647</v>
      </c>
      <c r="E264" s="18" t="s">
        <v>44</v>
      </c>
      <c r="F264" s="18" t="s">
        <v>33</v>
      </c>
      <c r="G264" s="19" t="s">
        <v>1606</v>
      </c>
      <c r="H264" s="19" t="s">
        <v>1648</v>
      </c>
      <c r="I264" s="19" t="s">
        <v>816</v>
      </c>
      <c r="J264" s="18" t="s">
        <v>51</v>
      </c>
    </row>
    <row r="265" spans="1:10" ht="93.75" customHeight="1">
      <c r="A265" s="21" t="s">
        <v>1649</v>
      </c>
      <c r="B265" s="21" t="s">
        <v>190</v>
      </c>
      <c r="C265" s="22" t="s">
        <v>25</v>
      </c>
      <c r="D265" s="22" t="s">
        <v>1650</v>
      </c>
      <c r="E265" s="18" t="s">
        <v>44</v>
      </c>
      <c r="F265" s="21" t="s">
        <v>33</v>
      </c>
      <c r="G265" s="22" t="s">
        <v>1606</v>
      </c>
      <c r="H265" s="22" t="s">
        <v>1651</v>
      </c>
      <c r="I265" s="22" t="s">
        <v>820</v>
      </c>
      <c r="J265" s="18" t="s">
        <v>51</v>
      </c>
    </row>
    <row r="266" spans="1:10" ht="48.75" customHeight="1">
      <c r="A266" s="18" t="s">
        <v>1652</v>
      </c>
      <c r="B266" s="18" t="s">
        <v>190</v>
      </c>
      <c r="C266" s="19" t="s">
        <v>25</v>
      </c>
      <c r="D266" s="19" t="s">
        <v>1653</v>
      </c>
      <c r="E266" s="18" t="s">
        <v>46</v>
      </c>
      <c r="F266" s="18" t="s">
        <v>33</v>
      </c>
      <c r="G266" s="19" t="s">
        <v>823</v>
      </c>
      <c r="H266" s="19" t="s">
        <v>1654</v>
      </c>
      <c r="I266" s="19" t="s">
        <v>825</v>
      </c>
      <c r="J266" s="18" t="s">
        <v>51</v>
      </c>
    </row>
    <row r="267" spans="1:10" ht="48.75" customHeight="1">
      <c r="A267" s="21" t="s">
        <v>1655</v>
      </c>
      <c r="B267" s="21" t="s">
        <v>190</v>
      </c>
      <c r="C267" s="22" t="s">
        <v>25</v>
      </c>
      <c r="D267" s="22" t="s">
        <v>1656</v>
      </c>
      <c r="E267" s="18" t="s">
        <v>46</v>
      </c>
      <c r="F267" s="21" t="s">
        <v>33</v>
      </c>
      <c r="G267" s="22" t="s">
        <v>828</v>
      </c>
      <c r="H267" s="22" t="s">
        <v>1657</v>
      </c>
      <c r="I267" s="22" t="s">
        <v>825</v>
      </c>
      <c r="J267" s="18" t="s">
        <v>51</v>
      </c>
    </row>
    <row r="268" spans="1:10" ht="78.75" customHeight="1">
      <c r="A268" s="18" t="s">
        <v>1658</v>
      </c>
      <c r="B268" s="18" t="s">
        <v>199</v>
      </c>
      <c r="C268" s="19" t="s">
        <v>25</v>
      </c>
      <c r="D268" s="19" t="s">
        <v>1659</v>
      </c>
      <c r="E268" s="18" t="s">
        <v>42</v>
      </c>
      <c r="F268" s="18" t="s">
        <v>35</v>
      </c>
      <c r="G268" s="19" t="s">
        <v>920</v>
      </c>
      <c r="H268" s="19" t="s">
        <v>1660</v>
      </c>
      <c r="I268" s="19" t="s">
        <v>1661</v>
      </c>
      <c r="J268" s="18" t="s">
        <v>51</v>
      </c>
    </row>
    <row r="269" spans="1:10" ht="78.75" customHeight="1">
      <c r="A269" s="21" t="s">
        <v>1662</v>
      </c>
      <c r="B269" s="21" t="s">
        <v>199</v>
      </c>
      <c r="C269" s="22" t="s">
        <v>25</v>
      </c>
      <c r="D269" s="22" t="s">
        <v>1663</v>
      </c>
      <c r="E269" s="18" t="s">
        <v>42</v>
      </c>
      <c r="F269" s="21" t="s">
        <v>35</v>
      </c>
      <c r="G269" s="22" t="s">
        <v>920</v>
      </c>
      <c r="H269" s="22" t="s">
        <v>1664</v>
      </c>
      <c r="I269" s="22" t="s">
        <v>1665</v>
      </c>
      <c r="J269" s="18" t="s">
        <v>51</v>
      </c>
    </row>
    <row r="270" spans="1:10" ht="78.75" customHeight="1">
      <c r="A270" s="18" t="s">
        <v>1666</v>
      </c>
      <c r="B270" s="18" t="s">
        <v>199</v>
      </c>
      <c r="C270" s="19" t="s">
        <v>25</v>
      </c>
      <c r="D270" s="19" t="s">
        <v>1667</v>
      </c>
      <c r="E270" s="18" t="s">
        <v>42</v>
      </c>
      <c r="F270" s="18" t="s">
        <v>35</v>
      </c>
      <c r="G270" s="19" t="s">
        <v>920</v>
      </c>
      <c r="H270" s="19" t="s">
        <v>1668</v>
      </c>
      <c r="I270" s="19" t="s">
        <v>1669</v>
      </c>
      <c r="J270" s="18" t="s">
        <v>51</v>
      </c>
    </row>
    <row r="271" spans="1:10" ht="63.75" customHeight="1">
      <c r="A271" s="21" t="s">
        <v>1670</v>
      </c>
      <c r="B271" s="21" t="s">
        <v>199</v>
      </c>
      <c r="C271" s="22" t="s">
        <v>25</v>
      </c>
      <c r="D271" s="22" t="s">
        <v>1671</v>
      </c>
      <c r="E271" s="18" t="s">
        <v>42</v>
      </c>
      <c r="F271" s="21" t="s">
        <v>35</v>
      </c>
      <c r="G271" s="22" t="s">
        <v>920</v>
      </c>
      <c r="H271" s="22" t="s">
        <v>1672</v>
      </c>
      <c r="I271" s="22" t="s">
        <v>1673</v>
      </c>
      <c r="J271" s="18" t="s">
        <v>51</v>
      </c>
    </row>
    <row r="272" spans="1:10" ht="78.75" customHeight="1">
      <c r="A272" s="18" t="s">
        <v>1674</v>
      </c>
      <c r="B272" s="18" t="s">
        <v>199</v>
      </c>
      <c r="C272" s="19" t="s">
        <v>25</v>
      </c>
      <c r="D272" s="19" t="s">
        <v>1675</v>
      </c>
      <c r="E272" s="18" t="s">
        <v>44</v>
      </c>
      <c r="F272" s="18" t="s">
        <v>35</v>
      </c>
      <c r="G272" s="19" t="s">
        <v>920</v>
      </c>
      <c r="H272" s="19" t="s">
        <v>1676</v>
      </c>
      <c r="I272" s="19" t="s">
        <v>1677</v>
      </c>
      <c r="J272" s="18" t="s">
        <v>51</v>
      </c>
    </row>
    <row r="273" spans="1:10" ht="78.75" customHeight="1">
      <c r="A273" s="21" t="s">
        <v>1678</v>
      </c>
      <c r="B273" s="21" t="s">
        <v>199</v>
      </c>
      <c r="C273" s="22" t="s">
        <v>25</v>
      </c>
      <c r="D273" s="22" t="s">
        <v>1679</v>
      </c>
      <c r="E273" s="18" t="s">
        <v>44</v>
      </c>
      <c r="F273" s="21" t="s">
        <v>35</v>
      </c>
      <c r="G273" s="22" t="s">
        <v>920</v>
      </c>
      <c r="H273" s="22" t="s">
        <v>1680</v>
      </c>
      <c r="I273" s="22" t="s">
        <v>1681</v>
      </c>
      <c r="J273" s="18" t="s">
        <v>51</v>
      </c>
    </row>
    <row r="274" spans="1:10" ht="78.75" customHeight="1">
      <c r="A274" s="18" t="s">
        <v>1682</v>
      </c>
      <c r="B274" s="18" t="s">
        <v>199</v>
      </c>
      <c r="C274" s="19" t="s">
        <v>25</v>
      </c>
      <c r="D274" s="19" t="s">
        <v>1683</v>
      </c>
      <c r="E274" s="18" t="s">
        <v>44</v>
      </c>
      <c r="F274" s="18" t="s">
        <v>35</v>
      </c>
      <c r="G274" s="19" t="s">
        <v>920</v>
      </c>
      <c r="H274" s="19" t="s">
        <v>1684</v>
      </c>
      <c r="I274" s="19" t="s">
        <v>1685</v>
      </c>
      <c r="J274" s="18" t="s">
        <v>51</v>
      </c>
    </row>
    <row r="275" spans="1:10" ht="78.75" customHeight="1">
      <c r="A275" s="21" t="s">
        <v>1686</v>
      </c>
      <c r="B275" s="21" t="s">
        <v>199</v>
      </c>
      <c r="C275" s="22" t="s">
        <v>25</v>
      </c>
      <c r="D275" s="22" t="s">
        <v>1679</v>
      </c>
      <c r="E275" s="18" t="s">
        <v>44</v>
      </c>
      <c r="F275" s="21" t="s">
        <v>35</v>
      </c>
      <c r="G275" s="22" t="s">
        <v>920</v>
      </c>
      <c r="H275" s="22" t="s">
        <v>1680</v>
      </c>
      <c r="I275" s="22" t="s">
        <v>1681</v>
      </c>
      <c r="J275" s="18" t="s">
        <v>51</v>
      </c>
    </row>
    <row r="276" spans="1:10" ht="78.75" customHeight="1">
      <c r="A276" s="18" t="s">
        <v>1687</v>
      </c>
      <c r="B276" s="18" t="s">
        <v>199</v>
      </c>
      <c r="C276" s="19" t="s">
        <v>25</v>
      </c>
      <c r="D276" s="19" t="s">
        <v>1688</v>
      </c>
      <c r="E276" s="18" t="s">
        <v>42</v>
      </c>
      <c r="F276" s="18" t="s">
        <v>35</v>
      </c>
      <c r="G276" s="19" t="s">
        <v>920</v>
      </c>
      <c r="H276" s="19" t="s">
        <v>1689</v>
      </c>
      <c r="I276" s="19" t="s">
        <v>808</v>
      </c>
      <c r="J276" s="18" t="s">
        <v>51</v>
      </c>
    </row>
    <row r="277" spans="1:10" ht="48.75" customHeight="1">
      <c r="A277" s="21" t="s">
        <v>1690</v>
      </c>
      <c r="B277" s="21" t="s">
        <v>199</v>
      </c>
      <c r="C277" s="22" t="s">
        <v>25</v>
      </c>
      <c r="D277" s="22" t="s">
        <v>1691</v>
      </c>
      <c r="E277" s="18" t="s">
        <v>46</v>
      </c>
      <c r="F277" s="21" t="s">
        <v>35</v>
      </c>
      <c r="G277" s="22" t="s">
        <v>920</v>
      </c>
      <c r="H277" s="22" t="s">
        <v>1692</v>
      </c>
      <c r="I277" s="22" t="s">
        <v>812</v>
      </c>
      <c r="J277" s="18" t="s">
        <v>51</v>
      </c>
    </row>
    <row r="278" spans="1:10" ht="93.75" customHeight="1">
      <c r="A278" s="18" t="s">
        <v>1693</v>
      </c>
      <c r="B278" s="18" t="s">
        <v>199</v>
      </c>
      <c r="C278" s="19" t="s">
        <v>25</v>
      </c>
      <c r="D278" s="19" t="s">
        <v>1694</v>
      </c>
      <c r="E278" s="18" t="s">
        <v>44</v>
      </c>
      <c r="F278" s="18" t="s">
        <v>35</v>
      </c>
      <c r="G278" s="19" t="s">
        <v>920</v>
      </c>
      <c r="H278" s="19" t="s">
        <v>1695</v>
      </c>
      <c r="I278" s="19" t="s">
        <v>816</v>
      </c>
      <c r="J278" s="18" t="s">
        <v>51</v>
      </c>
    </row>
    <row r="279" spans="1:10" ht="78.75" customHeight="1">
      <c r="A279" s="21" t="s">
        <v>1696</v>
      </c>
      <c r="B279" s="21" t="s">
        <v>199</v>
      </c>
      <c r="C279" s="22" t="s">
        <v>25</v>
      </c>
      <c r="D279" s="22" t="s">
        <v>1697</v>
      </c>
      <c r="E279" s="18" t="s">
        <v>44</v>
      </c>
      <c r="F279" s="21" t="s">
        <v>35</v>
      </c>
      <c r="G279" s="22" t="s">
        <v>920</v>
      </c>
      <c r="H279" s="22" t="s">
        <v>1698</v>
      </c>
      <c r="I279" s="22" t="s">
        <v>820</v>
      </c>
      <c r="J279" s="18" t="s">
        <v>51</v>
      </c>
    </row>
    <row r="280" spans="1:10" ht="48.75" customHeight="1">
      <c r="A280" s="18" t="s">
        <v>1699</v>
      </c>
      <c r="B280" s="18" t="s">
        <v>199</v>
      </c>
      <c r="C280" s="19" t="s">
        <v>25</v>
      </c>
      <c r="D280" s="19" t="s">
        <v>1700</v>
      </c>
      <c r="E280" s="18" t="s">
        <v>46</v>
      </c>
      <c r="F280" s="18" t="s">
        <v>35</v>
      </c>
      <c r="G280" s="19" t="s">
        <v>823</v>
      </c>
      <c r="H280" s="19" t="s">
        <v>1701</v>
      </c>
      <c r="I280" s="19" t="s">
        <v>958</v>
      </c>
      <c r="J280" s="18" t="s">
        <v>51</v>
      </c>
    </row>
    <row r="281" spans="1:10" ht="48.75" customHeight="1">
      <c r="A281" s="21" t="s">
        <v>1702</v>
      </c>
      <c r="B281" s="21" t="s">
        <v>199</v>
      </c>
      <c r="C281" s="22" t="s">
        <v>25</v>
      </c>
      <c r="D281" s="22" t="s">
        <v>1703</v>
      </c>
      <c r="E281" s="18" t="s">
        <v>46</v>
      </c>
      <c r="F281" s="21" t="s">
        <v>35</v>
      </c>
      <c r="G281" s="22" t="s">
        <v>961</v>
      </c>
      <c r="H281" s="22" t="s">
        <v>1704</v>
      </c>
      <c r="I281" s="22" t="s">
        <v>958</v>
      </c>
      <c r="J281" s="18" t="s">
        <v>51</v>
      </c>
    </row>
    <row r="282" spans="1:10" ht="48.75" customHeight="1">
      <c r="A282" s="18" t="s">
        <v>1705</v>
      </c>
      <c r="B282" s="18" t="s">
        <v>199</v>
      </c>
      <c r="C282" s="19" t="s">
        <v>25</v>
      </c>
      <c r="D282" s="19" t="s">
        <v>1706</v>
      </c>
      <c r="E282" s="18" t="s">
        <v>46</v>
      </c>
      <c r="F282" s="18" t="s">
        <v>35</v>
      </c>
      <c r="G282" s="19" t="s">
        <v>828</v>
      </c>
      <c r="H282" s="19" t="s">
        <v>1707</v>
      </c>
      <c r="I282" s="19" t="s">
        <v>958</v>
      </c>
      <c r="J282" s="18" t="s">
        <v>51</v>
      </c>
    </row>
    <row r="283" spans="1:10" ht="78.75" customHeight="1">
      <c r="A283" s="21" t="s">
        <v>1708</v>
      </c>
      <c r="B283" s="21" t="s">
        <v>205</v>
      </c>
      <c r="C283" s="22" t="s">
        <v>25</v>
      </c>
      <c r="D283" s="22" t="s">
        <v>1709</v>
      </c>
      <c r="E283" s="18" t="s">
        <v>42</v>
      </c>
      <c r="F283" s="21" t="s">
        <v>33</v>
      </c>
      <c r="G283" s="22" t="s">
        <v>920</v>
      </c>
      <c r="H283" s="22" t="s">
        <v>1710</v>
      </c>
      <c r="I283" s="22" t="s">
        <v>1711</v>
      </c>
      <c r="J283" s="18" t="s">
        <v>51</v>
      </c>
    </row>
    <row r="284" spans="1:10" ht="78.75" customHeight="1">
      <c r="A284" s="18" t="s">
        <v>1712</v>
      </c>
      <c r="B284" s="18" t="s">
        <v>205</v>
      </c>
      <c r="C284" s="19" t="s">
        <v>25</v>
      </c>
      <c r="D284" s="19" t="s">
        <v>1713</v>
      </c>
      <c r="E284" s="18" t="s">
        <v>42</v>
      </c>
      <c r="F284" s="18" t="s">
        <v>33</v>
      </c>
      <c r="G284" s="19" t="s">
        <v>920</v>
      </c>
      <c r="H284" s="19" t="s">
        <v>1714</v>
      </c>
      <c r="I284" s="19" t="s">
        <v>1715</v>
      </c>
      <c r="J284" s="18" t="s">
        <v>51</v>
      </c>
    </row>
    <row r="285" spans="1:10" ht="78.75" customHeight="1">
      <c r="A285" s="21" t="s">
        <v>1716</v>
      </c>
      <c r="B285" s="21" t="s">
        <v>205</v>
      </c>
      <c r="C285" s="22" t="s">
        <v>25</v>
      </c>
      <c r="D285" s="22" t="s">
        <v>1717</v>
      </c>
      <c r="E285" s="18" t="s">
        <v>42</v>
      </c>
      <c r="F285" s="21" t="s">
        <v>33</v>
      </c>
      <c r="G285" s="22" t="s">
        <v>920</v>
      </c>
      <c r="H285" s="22" t="s">
        <v>1718</v>
      </c>
      <c r="I285" s="22" t="s">
        <v>1719</v>
      </c>
      <c r="J285" s="18" t="s">
        <v>51</v>
      </c>
    </row>
    <row r="286" spans="1:10" ht="78.75" customHeight="1">
      <c r="A286" s="18" t="s">
        <v>1720</v>
      </c>
      <c r="B286" s="18" t="s">
        <v>205</v>
      </c>
      <c r="C286" s="19" t="s">
        <v>25</v>
      </c>
      <c r="D286" s="19" t="s">
        <v>1721</v>
      </c>
      <c r="E286" s="18" t="s">
        <v>42</v>
      </c>
      <c r="F286" s="18" t="s">
        <v>33</v>
      </c>
      <c r="G286" s="19" t="s">
        <v>920</v>
      </c>
      <c r="H286" s="19" t="s">
        <v>1722</v>
      </c>
      <c r="I286" s="19" t="s">
        <v>1723</v>
      </c>
      <c r="J286" s="18" t="s">
        <v>51</v>
      </c>
    </row>
    <row r="287" spans="1:10" ht="93.75" customHeight="1">
      <c r="A287" s="21" t="s">
        <v>1724</v>
      </c>
      <c r="B287" s="21" t="s">
        <v>205</v>
      </c>
      <c r="C287" s="22" t="s">
        <v>25</v>
      </c>
      <c r="D287" s="22" t="s">
        <v>1725</v>
      </c>
      <c r="E287" s="18" t="s">
        <v>42</v>
      </c>
      <c r="F287" s="21" t="s">
        <v>33</v>
      </c>
      <c r="G287" s="22" t="s">
        <v>920</v>
      </c>
      <c r="H287" s="22" t="s">
        <v>1726</v>
      </c>
      <c r="I287" s="22" t="s">
        <v>808</v>
      </c>
      <c r="J287" s="18" t="s">
        <v>51</v>
      </c>
    </row>
    <row r="288" spans="1:10" ht="63.75" customHeight="1">
      <c r="A288" s="18" t="s">
        <v>1727</v>
      </c>
      <c r="B288" s="18" t="s">
        <v>205</v>
      </c>
      <c r="C288" s="19" t="s">
        <v>25</v>
      </c>
      <c r="D288" s="19" t="s">
        <v>1728</v>
      </c>
      <c r="E288" s="18" t="s">
        <v>46</v>
      </c>
      <c r="F288" s="18" t="s">
        <v>33</v>
      </c>
      <c r="G288" s="19" t="s">
        <v>920</v>
      </c>
      <c r="H288" s="19" t="s">
        <v>1729</v>
      </c>
      <c r="I288" s="19" t="s">
        <v>812</v>
      </c>
      <c r="J288" s="18" t="s">
        <v>51</v>
      </c>
    </row>
    <row r="289" spans="1:10" ht="93.75" customHeight="1">
      <c r="A289" s="21" t="s">
        <v>1730</v>
      </c>
      <c r="B289" s="21" t="s">
        <v>205</v>
      </c>
      <c r="C289" s="22" t="s">
        <v>25</v>
      </c>
      <c r="D289" s="22" t="s">
        <v>1731</v>
      </c>
      <c r="E289" s="18" t="s">
        <v>44</v>
      </c>
      <c r="F289" s="21" t="s">
        <v>33</v>
      </c>
      <c r="G289" s="22" t="s">
        <v>920</v>
      </c>
      <c r="H289" s="22" t="s">
        <v>1732</v>
      </c>
      <c r="I289" s="22" t="s">
        <v>816</v>
      </c>
      <c r="J289" s="18" t="s">
        <v>51</v>
      </c>
    </row>
    <row r="290" spans="1:10" ht="93.75" customHeight="1">
      <c r="A290" s="18" t="s">
        <v>1733</v>
      </c>
      <c r="B290" s="18" t="s">
        <v>205</v>
      </c>
      <c r="C290" s="19" t="s">
        <v>25</v>
      </c>
      <c r="D290" s="19" t="s">
        <v>1734</v>
      </c>
      <c r="E290" s="18" t="s">
        <v>44</v>
      </c>
      <c r="F290" s="18" t="s">
        <v>33</v>
      </c>
      <c r="G290" s="19" t="s">
        <v>920</v>
      </c>
      <c r="H290" s="19" t="s">
        <v>1735</v>
      </c>
      <c r="I290" s="19" t="s">
        <v>820</v>
      </c>
      <c r="J290" s="18" t="s">
        <v>51</v>
      </c>
    </row>
    <row r="291" spans="1:10" ht="48.75" customHeight="1">
      <c r="A291" s="21" t="s">
        <v>1736</v>
      </c>
      <c r="B291" s="21" t="s">
        <v>205</v>
      </c>
      <c r="C291" s="22" t="s">
        <v>25</v>
      </c>
      <c r="D291" s="22" t="s">
        <v>1737</v>
      </c>
      <c r="E291" s="18" t="s">
        <v>46</v>
      </c>
      <c r="F291" s="21" t="s">
        <v>33</v>
      </c>
      <c r="G291" s="22" t="s">
        <v>823</v>
      </c>
      <c r="H291" s="22" t="s">
        <v>1738</v>
      </c>
      <c r="I291" s="22" t="s">
        <v>958</v>
      </c>
      <c r="J291" s="18" t="s">
        <v>51</v>
      </c>
    </row>
    <row r="292" spans="1:10" ht="48.75" customHeight="1">
      <c r="A292" s="18" t="s">
        <v>1739</v>
      </c>
      <c r="B292" s="18" t="s">
        <v>205</v>
      </c>
      <c r="C292" s="19" t="s">
        <v>25</v>
      </c>
      <c r="D292" s="19" t="s">
        <v>1740</v>
      </c>
      <c r="E292" s="18" t="s">
        <v>46</v>
      </c>
      <c r="F292" s="18" t="s">
        <v>33</v>
      </c>
      <c r="G292" s="19" t="s">
        <v>961</v>
      </c>
      <c r="H292" s="19" t="s">
        <v>1741</v>
      </c>
      <c r="I292" s="19" t="s">
        <v>958</v>
      </c>
      <c r="J292" s="18" t="s">
        <v>51</v>
      </c>
    </row>
    <row r="293" spans="1:10" ht="48.75" customHeight="1">
      <c r="A293" s="21" t="s">
        <v>1742</v>
      </c>
      <c r="B293" s="21" t="s">
        <v>205</v>
      </c>
      <c r="C293" s="22" t="s">
        <v>25</v>
      </c>
      <c r="D293" s="22" t="s">
        <v>1743</v>
      </c>
      <c r="E293" s="18" t="s">
        <v>46</v>
      </c>
      <c r="F293" s="21" t="s">
        <v>33</v>
      </c>
      <c r="G293" s="22" t="s">
        <v>828</v>
      </c>
      <c r="H293" s="22" t="s">
        <v>1744</v>
      </c>
      <c r="I293" s="22" t="s">
        <v>958</v>
      </c>
      <c r="J293" s="18" t="s">
        <v>51</v>
      </c>
    </row>
    <row r="294" spans="1:10" ht="78.75" customHeight="1">
      <c r="A294" s="18" t="s">
        <v>1745</v>
      </c>
      <c r="B294" s="18" t="s">
        <v>210</v>
      </c>
      <c r="C294" s="19" t="s">
        <v>25</v>
      </c>
      <c r="D294" s="19" t="s">
        <v>1746</v>
      </c>
      <c r="E294" s="18" t="s">
        <v>42</v>
      </c>
      <c r="F294" s="18" t="s">
        <v>35</v>
      </c>
      <c r="G294" s="19" t="s">
        <v>920</v>
      </c>
      <c r="H294" s="19" t="s">
        <v>1747</v>
      </c>
      <c r="I294" s="19" t="s">
        <v>1748</v>
      </c>
      <c r="J294" s="18" t="s">
        <v>51</v>
      </c>
    </row>
    <row r="295" spans="1:10" ht="78.75" customHeight="1">
      <c r="A295" s="21" t="s">
        <v>1749</v>
      </c>
      <c r="B295" s="21" t="s">
        <v>210</v>
      </c>
      <c r="C295" s="22" t="s">
        <v>25</v>
      </c>
      <c r="D295" s="22" t="s">
        <v>1750</v>
      </c>
      <c r="E295" s="18" t="s">
        <v>42</v>
      </c>
      <c r="F295" s="21" t="s">
        <v>35</v>
      </c>
      <c r="G295" s="22" t="s">
        <v>920</v>
      </c>
      <c r="H295" s="22" t="s">
        <v>1751</v>
      </c>
      <c r="I295" s="22" t="s">
        <v>1752</v>
      </c>
      <c r="J295" s="18" t="s">
        <v>51</v>
      </c>
    </row>
    <row r="296" spans="1:10" ht="78.75" customHeight="1">
      <c r="A296" s="18" t="s">
        <v>1753</v>
      </c>
      <c r="B296" s="18" t="s">
        <v>210</v>
      </c>
      <c r="C296" s="19" t="s">
        <v>25</v>
      </c>
      <c r="D296" s="19" t="s">
        <v>1754</v>
      </c>
      <c r="E296" s="18" t="s">
        <v>44</v>
      </c>
      <c r="F296" s="18" t="s">
        <v>35</v>
      </c>
      <c r="G296" s="19" t="s">
        <v>920</v>
      </c>
      <c r="H296" s="19" t="s">
        <v>1755</v>
      </c>
      <c r="I296" s="19" t="s">
        <v>1756</v>
      </c>
      <c r="J296" s="18" t="s">
        <v>51</v>
      </c>
    </row>
    <row r="297" spans="1:10" ht="48.75" customHeight="1">
      <c r="A297" s="21" t="s">
        <v>1757</v>
      </c>
      <c r="B297" s="21" t="s">
        <v>210</v>
      </c>
      <c r="C297" s="22" t="s">
        <v>25</v>
      </c>
      <c r="D297" s="22" t="s">
        <v>1758</v>
      </c>
      <c r="E297" s="18" t="s">
        <v>46</v>
      </c>
      <c r="F297" s="21" t="s">
        <v>35</v>
      </c>
      <c r="G297" s="22" t="s">
        <v>823</v>
      </c>
      <c r="H297" s="22" t="s">
        <v>1759</v>
      </c>
      <c r="I297" s="22" t="s">
        <v>958</v>
      </c>
      <c r="J297" s="18" t="s">
        <v>51</v>
      </c>
    </row>
    <row r="298" spans="1:10" ht="48.75" customHeight="1">
      <c r="A298" s="18" t="s">
        <v>1760</v>
      </c>
      <c r="B298" s="18" t="s">
        <v>210</v>
      </c>
      <c r="C298" s="19" t="s">
        <v>25</v>
      </c>
      <c r="D298" s="19" t="s">
        <v>1761</v>
      </c>
      <c r="E298" s="18" t="s">
        <v>46</v>
      </c>
      <c r="F298" s="18" t="s">
        <v>35</v>
      </c>
      <c r="G298" s="19" t="s">
        <v>961</v>
      </c>
      <c r="H298" s="19" t="s">
        <v>1762</v>
      </c>
      <c r="I298" s="19" t="s">
        <v>958</v>
      </c>
      <c r="J298" s="18" t="s">
        <v>51</v>
      </c>
    </row>
    <row r="299" spans="1:10" ht="48.75" customHeight="1">
      <c r="A299" s="21" t="s">
        <v>1763</v>
      </c>
      <c r="B299" s="21" t="s">
        <v>210</v>
      </c>
      <c r="C299" s="22" t="s">
        <v>25</v>
      </c>
      <c r="D299" s="22" t="s">
        <v>1764</v>
      </c>
      <c r="E299" s="18" t="s">
        <v>46</v>
      </c>
      <c r="F299" s="21" t="s">
        <v>35</v>
      </c>
      <c r="G299" s="22" t="s">
        <v>828</v>
      </c>
      <c r="H299" s="22" t="s">
        <v>1765</v>
      </c>
      <c r="I299" s="22" t="s">
        <v>958</v>
      </c>
      <c r="J299" s="18" t="s">
        <v>51</v>
      </c>
    </row>
    <row r="300" spans="1:10" ht="78.75" customHeight="1">
      <c r="A300" s="18" t="s">
        <v>1766</v>
      </c>
      <c r="B300" s="18" t="s">
        <v>214</v>
      </c>
      <c r="C300" s="19" t="s">
        <v>25</v>
      </c>
      <c r="D300" s="19" t="s">
        <v>1767</v>
      </c>
      <c r="E300" s="18" t="s">
        <v>42</v>
      </c>
      <c r="F300" s="18" t="s">
        <v>37</v>
      </c>
      <c r="G300" s="19" t="s">
        <v>920</v>
      </c>
      <c r="H300" s="19" t="s">
        <v>1768</v>
      </c>
      <c r="I300" s="19" t="s">
        <v>1769</v>
      </c>
      <c r="J300" s="18" t="s">
        <v>51</v>
      </c>
    </row>
    <row r="301" spans="1:10" ht="78.75" customHeight="1">
      <c r="A301" s="21" t="s">
        <v>1770</v>
      </c>
      <c r="B301" s="21" t="s">
        <v>214</v>
      </c>
      <c r="C301" s="22" t="s">
        <v>25</v>
      </c>
      <c r="D301" s="22" t="s">
        <v>1771</v>
      </c>
      <c r="E301" s="18" t="s">
        <v>42</v>
      </c>
      <c r="F301" s="21" t="s">
        <v>37</v>
      </c>
      <c r="G301" s="22" t="s">
        <v>920</v>
      </c>
      <c r="H301" s="22" t="s">
        <v>1772</v>
      </c>
      <c r="I301" s="22" t="s">
        <v>1773</v>
      </c>
      <c r="J301" s="18" t="s">
        <v>51</v>
      </c>
    </row>
    <row r="302" spans="1:10" ht="78.75" customHeight="1">
      <c r="A302" s="18" t="s">
        <v>1774</v>
      </c>
      <c r="B302" s="18" t="s">
        <v>214</v>
      </c>
      <c r="C302" s="19" t="s">
        <v>25</v>
      </c>
      <c r="D302" s="19" t="s">
        <v>1775</v>
      </c>
      <c r="E302" s="18" t="s">
        <v>42</v>
      </c>
      <c r="F302" s="18" t="s">
        <v>37</v>
      </c>
      <c r="G302" s="19" t="s">
        <v>920</v>
      </c>
      <c r="H302" s="19" t="s">
        <v>1776</v>
      </c>
      <c r="I302" s="19" t="s">
        <v>1777</v>
      </c>
      <c r="J302" s="18" t="s">
        <v>51</v>
      </c>
    </row>
    <row r="303" spans="1:10" ht="48.75" customHeight="1">
      <c r="A303" s="21" t="s">
        <v>1778</v>
      </c>
      <c r="B303" s="21" t="s">
        <v>214</v>
      </c>
      <c r="C303" s="22" t="s">
        <v>25</v>
      </c>
      <c r="D303" s="22" t="s">
        <v>1779</v>
      </c>
      <c r="E303" s="18" t="s">
        <v>46</v>
      </c>
      <c r="F303" s="21" t="s">
        <v>37</v>
      </c>
      <c r="G303" s="22" t="s">
        <v>823</v>
      </c>
      <c r="H303" s="22" t="s">
        <v>1780</v>
      </c>
      <c r="I303" s="22" t="s">
        <v>958</v>
      </c>
      <c r="J303" s="18" t="s">
        <v>51</v>
      </c>
    </row>
    <row r="304" spans="1:10" ht="48.75" customHeight="1">
      <c r="A304" s="18" t="s">
        <v>1781</v>
      </c>
      <c r="B304" s="18" t="s">
        <v>214</v>
      </c>
      <c r="C304" s="19" t="s">
        <v>25</v>
      </c>
      <c r="D304" s="19" t="s">
        <v>1782</v>
      </c>
      <c r="E304" s="18" t="s">
        <v>46</v>
      </c>
      <c r="F304" s="18" t="s">
        <v>37</v>
      </c>
      <c r="G304" s="19" t="s">
        <v>961</v>
      </c>
      <c r="H304" s="19" t="s">
        <v>1783</v>
      </c>
      <c r="I304" s="19" t="s">
        <v>958</v>
      </c>
      <c r="J304" s="18" t="s">
        <v>51</v>
      </c>
    </row>
    <row r="305" spans="1:10" ht="48.75" customHeight="1">
      <c r="A305" s="21" t="s">
        <v>1784</v>
      </c>
      <c r="B305" s="21" t="s">
        <v>214</v>
      </c>
      <c r="C305" s="22" t="s">
        <v>25</v>
      </c>
      <c r="D305" s="22" t="s">
        <v>1785</v>
      </c>
      <c r="E305" s="18" t="s">
        <v>46</v>
      </c>
      <c r="F305" s="21" t="s">
        <v>37</v>
      </c>
      <c r="G305" s="22" t="s">
        <v>828</v>
      </c>
      <c r="H305" s="22" t="s">
        <v>1786</v>
      </c>
      <c r="I305" s="22" t="s">
        <v>958</v>
      </c>
      <c r="J305" s="18" t="s">
        <v>51</v>
      </c>
    </row>
    <row r="306" spans="1:10" ht="78.75" customHeight="1">
      <c r="A306" s="18" t="s">
        <v>1787</v>
      </c>
      <c r="B306" s="18" t="s">
        <v>218</v>
      </c>
      <c r="C306" s="19" t="s">
        <v>25</v>
      </c>
      <c r="D306" s="19" t="s">
        <v>1788</v>
      </c>
      <c r="E306" s="18" t="s">
        <v>42</v>
      </c>
      <c r="F306" s="18" t="s">
        <v>37</v>
      </c>
      <c r="G306" s="19" t="s">
        <v>920</v>
      </c>
      <c r="H306" s="19" t="s">
        <v>1789</v>
      </c>
      <c r="I306" s="19" t="s">
        <v>1790</v>
      </c>
      <c r="J306" s="18" t="s">
        <v>51</v>
      </c>
    </row>
    <row r="307" spans="1:10" ht="78.75" customHeight="1">
      <c r="A307" s="21" t="s">
        <v>1791</v>
      </c>
      <c r="B307" s="21" t="s">
        <v>218</v>
      </c>
      <c r="C307" s="22" t="s">
        <v>25</v>
      </c>
      <c r="D307" s="22" t="s">
        <v>1792</v>
      </c>
      <c r="E307" s="18" t="s">
        <v>42</v>
      </c>
      <c r="F307" s="21" t="s">
        <v>37</v>
      </c>
      <c r="G307" s="22" t="s">
        <v>920</v>
      </c>
      <c r="H307" s="22" t="s">
        <v>1793</v>
      </c>
      <c r="I307" s="22" t="s">
        <v>1794</v>
      </c>
      <c r="J307" s="18" t="s">
        <v>51</v>
      </c>
    </row>
    <row r="308" spans="1:10" ht="78.75" customHeight="1">
      <c r="A308" s="18" t="s">
        <v>1795</v>
      </c>
      <c r="B308" s="18" t="s">
        <v>218</v>
      </c>
      <c r="C308" s="19" t="s">
        <v>25</v>
      </c>
      <c r="D308" s="19" t="s">
        <v>1796</v>
      </c>
      <c r="E308" s="18" t="s">
        <v>42</v>
      </c>
      <c r="F308" s="18" t="s">
        <v>37</v>
      </c>
      <c r="G308" s="19" t="s">
        <v>920</v>
      </c>
      <c r="H308" s="19" t="s">
        <v>1797</v>
      </c>
      <c r="I308" s="19" t="s">
        <v>1798</v>
      </c>
      <c r="J308" s="18" t="s">
        <v>51</v>
      </c>
    </row>
    <row r="309" spans="1:10" ht="48.75" customHeight="1">
      <c r="A309" s="21" t="s">
        <v>1799</v>
      </c>
      <c r="B309" s="21" t="s">
        <v>218</v>
      </c>
      <c r="C309" s="22" t="s">
        <v>25</v>
      </c>
      <c r="D309" s="22" t="s">
        <v>1800</v>
      </c>
      <c r="E309" s="18" t="s">
        <v>46</v>
      </c>
      <c r="F309" s="21" t="s">
        <v>37</v>
      </c>
      <c r="G309" s="22" t="s">
        <v>823</v>
      </c>
      <c r="H309" s="22" t="s">
        <v>1801</v>
      </c>
      <c r="I309" s="22" t="s">
        <v>958</v>
      </c>
      <c r="J309" s="18" t="s">
        <v>51</v>
      </c>
    </row>
    <row r="310" spans="1:10" ht="48.75" customHeight="1">
      <c r="A310" s="18" t="s">
        <v>1802</v>
      </c>
      <c r="B310" s="18" t="s">
        <v>218</v>
      </c>
      <c r="C310" s="19" t="s">
        <v>25</v>
      </c>
      <c r="D310" s="19" t="s">
        <v>1803</v>
      </c>
      <c r="E310" s="18" t="s">
        <v>46</v>
      </c>
      <c r="F310" s="18" t="s">
        <v>37</v>
      </c>
      <c r="G310" s="19" t="s">
        <v>961</v>
      </c>
      <c r="H310" s="19" t="s">
        <v>1804</v>
      </c>
      <c r="I310" s="19" t="s">
        <v>958</v>
      </c>
      <c r="J310" s="18" t="s">
        <v>51</v>
      </c>
    </row>
    <row r="311" spans="1:10" ht="48.75" customHeight="1">
      <c r="A311" s="21" t="s">
        <v>1805</v>
      </c>
      <c r="B311" s="21" t="s">
        <v>218</v>
      </c>
      <c r="C311" s="22" t="s">
        <v>25</v>
      </c>
      <c r="D311" s="22" t="s">
        <v>1806</v>
      </c>
      <c r="E311" s="18" t="s">
        <v>46</v>
      </c>
      <c r="F311" s="21" t="s">
        <v>37</v>
      </c>
      <c r="G311" s="22" t="s">
        <v>828</v>
      </c>
      <c r="H311" s="22" t="s">
        <v>1807</v>
      </c>
      <c r="I311" s="22" t="s">
        <v>958</v>
      </c>
      <c r="J311" s="18" t="s">
        <v>51</v>
      </c>
    </row>
    <row r="312" spans="1:10" ht="78.75" customHeight="1">
      <c r="A312" s="18" t="s">
        <v>1808</v>
      </c>
      <c r="B312" s="18" t="s">
        <v>222</v>
      </c>
      <c r="C312" s="19" t="s">
        <v>25</v>
      </c>
      <c r="D312" s="19" t="s">
        <v>1809</v>
      </c>
      <c r="E312" s="18" t="s">
        <v>42</v>
      </c>
      <c r="F312" s="18" t="s">
        <v>37</v>
      </c>
      <c r="G312" s="19" t="s">
        <v>920</v>
      </c>
      <c r="H312" s="19" t="s">
        <v>1810</v>
      </c>
      <c r="I312" s="19" t="s">
        <v>1811</v>
      </c>
      <c r="J312" s="18" t="s">
        <v>51</v>
      </c>
    </row>
    <row r="313" spans="1:10" ht="78.75" customHeight="1">
      <c r="A313" s="21" t="s">
        <v>1812</v>
      </c>
      <c r="B313" s="21" t="s">
        <v>222</v>
      </c>
      <c r="C313" s="22" t="s">
        <v>25</v>
      </c>
      <c r="D313" s="22" t="s">
        <v>1813</v>
      </c>
      <c r="E313" s="18" t="s">
        <v>42</v>
      </c>
      <c r="F313" s="21" t="s">
        <v>37</v>
      </c>
      <c r="G313" s="22" t="s">
        <v>920</v>
      </c>
      <c r="H313" s="22" t="s">
        <v>1814</v>
      </c>
      <c r="I313" s="22" t="s">
        <v>1815</v>
      </c>
      <c r="J313" s="18" t="s">
        <v>51</v>
      </c>
    </row>
    <row r="314" spans="1:10" ht="78.75" customHeight="1">
      <c r="A314" s="18" t="s">
        <v>1816</v>
      </c>
      <c r="B314" s="18" t="s">
        <v>222</v>
      </c>
      <c r="C314" s="19" t="s">
        <v>25</v>
      </c>
      <c r="D314" s="19" t="s">
        <v>1817</v>
      </c>
      <c r="E314" s="18" t="s">
        <v>42</v>
      </c>
      <c r="F314" s="18" t="s">
        <v>37</v>
      </c>
      <c r="G314" s="19" t="s">
        <v>920</v>
      </c>
      <c r="H314" s="19" t="s">
        <v>1818</v>
      </c>
      <c r="I314" s="19" t="s">
        <v>1819</v>
      </c>
      <c r="J314" s="18" t="s">
        <v>51</v>
      </c>
    </row>
    <row r="315" spans="1:10" ht="48.75" customHeight="1">
      <c r="A315" s="21" t="s">
        <v>1820</v>
      </c>
      <c r="B315" s="21" t="s">
        <v>222</v>
      </c>
      <c r="C315" s="22" t="s">
        <v>25</v>
      </c>
      <c r="D315" s="22" t="s">
        <v>1821</v>
      </c>
      <c r="E315" s="18" t="s">
        <v>46</v>
      </c>
      <c r="F315" s="21" t="s">
        <v>37</v>
      </c>
      <c r="G315" s="22" t="s">
        <v>823</v>
      </c>
      <c r="H315" s="22" t="s">
        <v>1822</v>
      </c>
      <c r="I315" s="22" t="s">
        <v>958</v>
      </c>
      <c r="J315" s="18" t="s">
        <v>51</v>
      </c>
    </row>
    <row r="316" spans="1:10" ht="48.75" customHeight="1">
      <c r="A316" s="18" t="s">
        <v>1823</v>
      </c>
      <c r="B316" s="18" t="s">
        <v>222</v>
      </c>
      <c r="C316" s="19" t="s">
        <v>25</v>
      </c>
      <c r="D316" s="19" t="s">
        <v>1824</v>
      </c>
      <c r="E316" s="18" t="s">
        <v>46</v>
      </c>
      <c r="F316" s="18" t="s">
        <v>37</v>
      </c>
      <c r="G316" s="19" t="s">
        <v>961</v>
      </c>
      <c r="H316" s="19" t="s">
        <v>1825</v>
      </c>
      <c r="I316" s="19" t="s">
        <v>958</v>
      </c>
      <c r="J316" s="18" t="s">
        <v>51</v>
      </c>
    </row>
    <row r="317" spans="1:10" ht="48.75" customHeight="1">
      <c r="A317" s="21" t="s">
        <v>1826</v>
      </c>
      <c r="B317" s="21" t="s">
        <v>222</v>
      </c>
      <c r="C317" s="22" t="s">
        <v>25</v>
      </c>
      <c r="D317" s="22" t="s">
        <v>1827</v>
      </c>
      <c r="E317" s="18" t="s">
        <v>46</v>
      </c>
      <c r="F317" s="21" t="s">
        <v>37</v>
      </c>
      <c r="G317" s="22" t="s">
        <v>828</v>
      </c>
      <c r="H317" s="22" t="s">
        <v>1828</v>
      </c>
      <c r="I317" s="22" t="s">
        <v>958</v>
      </c>
      <c r="J317" s="18" t="s">
        <v>51</v>
      </c>
    </row>
    <row r="318" spans="1:10" ht="78.75" customHeight="1">
      <c r="A318" s="18" t="s">
        <v>1829</v>
      </c>
      <c r="B318" s="18" t="s">
        <v>226</v>
      </c>
      <c r="C318" s="19" t="s">
        <v>25</v>
      </c>
      <c r="D318" s="19" t="s">
        <v>1830</v>
      </c>
      <c r="E318" s="18" t="s">
        <v>42</v>
      </c>
      <c r="F318" s="18" t="s">
        <v>37</v>
      </c>
      <c r="G318" s="19" t="s">
        <v>920</v>
      </c>
      <c r="H318" s="19" t="s">
        <v>1831</v>
      </c>
      <c r="I318" s="19" t="s">
        <v>1832</v>
      </c>
      <c r="J318" s="18" t="s">
        <v>51</v>
      </c>
    </row>
    <row r="319" spans="1:10" ht="78.75" customHeight="1">
      <c r="A319" s="21" t="s">
        <v>1833</v>
      </c>
      <c r="B319" s="21" t="s">
        <v>226</v>
      </c>
      <c r="C319" s="22" t="s">
        <v>25</v>
      </c>
      <c r="D319" s="22" t="s">
        <v>1834</v>
      </c>
      <c r="E319" s="18" t="s">
        <v>42</v>
      </c>
      <c r="F319" s="21" t="s">
        <v>37</v>
      </c>
      <c r="G319" s="22" t="s">
        <v>920</v>
      </c>
      <c r="H319" s="22" t="s">
        <v>1835</v>
      </c>
      <c r="I319" s="22" t="s">
        <v>1836</v>
      </c>
      <c r="J319" s="18" t="s">
        <v>51</v>
      </c>
    </row>
    <row r="320" spans="1:10" ht="78.75" customHeight="1">
      <c r="A320" s="18" t="s">
        <v>1837</v>
      </c>
      <c r="B320" s="18" t="s">
        <v>226</v>
      </c>
      <c r="C320" s="19" t="s">
        <v>25</v>
      </c>
      <c r="D320" s="19" t="s">
        <v>1838</v>
      </c>
      <c r="E320" s="18" t="s">
        <v>42</v>
      </c>
      <c r="F320" s="18" t="s">
        <v>37</v>
      </c>
      <c r="G320" s="19" t="s">
        <v>920</v>
      </c>
      <c r="H320" s="19" t="s">
        <v>1839</v>
      </c>
      <c r="I320" s="19" t="s">
        <v>1840</v>
      </c>
      <c r="J320" s="18" t="s">
        <v>51</v>
      </c>
    </row>
    <row r="321" spans="1:10" ht="48.75" customHeight="1">
      <c r="A321" s="21" t="s">
        <v>1841</v>
      </c>
      <c r="B321" s="21" t="s">
        <v>226</v>
      </c>
      <c r="C321" s="22" t="s">
        <v>25</v>
      </c>
      <c r="D321" s="22" t="s">
        <v>1842</v>
      </c>
      <c r="E321" s="18" t="s">
        <v>46</v>
      </c>
      <c r="F321" s="21" t="s">
        <v>37</v>
      </c>
      <c r="G321" s="22" t="s">
        <v>823</v>
      </c>
      <c r="H321" s="22" t="s">
        <v>1843</v>
      </c>
      <c r="I321" s="22" t="s">
        <v>958</v>
      </c>
      <c r="J321" s="18" t="s">
        <v>51</v>
      </c>
    </row>
    <row r="322" spans="1:10" ht="48.75" customHeight="1">
      <c r="A322" s="18" t="s">
        <v>1844</v>
      </c>
      <c r="B322" s="18" t="s">
        <v>226</v>
      </c>
      <c r="C322" s="19" t="s">
        <v>25</v>
      </c>
      <c r="D322" s="19" t="s">
        <v>1845</v>
      </c>
      <c r="E322" s="18" t="s">
        <v>46</v>
      </c>
      <c r="F322" s="18" t="s">
        <v>37</v>
      </c>
      <c r="G322" s="19" t="s">
        <v>961</v>
      </c>
      <c r="H322" s="19" t="s">
        <v>1846</v>
      </c>
      <c r="I322" s="19" t="s">
        <v>958</v>
      </c>
      <c r="J322" s="18" t="s">
        <v>51</v>
      </c>
    </row>
    <row r="323" spans="1:10" ht="48.75" customHeight="1">
      <c r="A323" s="21" t="s">
        <v>1847</v>
      </c>
      <c r="B323" s="21" t="s">
        <v>226</v>
      </c>
      <c r="C323" s="22" t="s">
        <v>25</v>
      </c>
      <c r="D323" s="22" t="s">
        <v>1848</v>
      </c>
      <c r="E323" s="18" t="s">
        <v>46</v>
      </c>
      <c r="F323" s="21" t="s">
        <v>37</v>
      </c>
      <c r="G323" s="22" t="s">
        <v>828</v>
      </c>
      <c r="H323" s="22" t="s">
        <v>1849</v>
      </c>
      <c r="I323" s="22" t="s">
        <v>958</v>
      </c>
      <c r="J323" s="18" t="s">
        <v>51</v>
      </c>
    </row>
    <row r="324" spans="1:10" ht="78.75" customHeight="1">
      <c r="A324" s="18" t="s">
        <v>1850</v>
      </c>
      <c r="B324" s="18" t="s">
        <v>230</v>
      </c>
      <c r="C324" s="19" t="s">
        <v>25</v>
      </c>
      <c r="D324" s="19" t="s">
        <v>1851</v>
      </c>
      <c r="E324" s="18" t="s">
        <v>42</v>
      </c>
      <c r="F324" s="18" t="s">
        <v>33</v>
      </c>
      <c r="G324" s="19" t="s">
        <v>920</v>
      </c>
      <c r="H324" s="19" t="s">
        <v>1852</v>
      </c>
      <c r="I324" s="19" t="s">
        <v>1853</v>
      </c>
      <c r="J324" s="18" t="s">
        <v>51</v>
      </c>
    </row>
    <row r="325" spans="1:10" ht="78.75" customHeight="1">
      <c r="A325" s="21" t="s">
        <v>1854</v>
      </c>
      <c r="B325" s="21" t="s">
        <v>230</v>
      </c>
      <c r="C325" s="22" t="s">
        <v>25</v>
      </c>
      <c r="D325" s="22" t="s">
        <v>1855</v>
      </c>
      <c r="E325" s="18" t="s">
        <v>44</v>
      </c>
      <c r="F325" s="21" t="s">
        <v>33</v>
      </c>
      <c r="G325" s="22" t="s">
        <v>920</v>
      </c>
      <c r="H325" s="22" t="s">
        <v>1856</v>
      </c>
      <c r="I325" s="22" t="s">
        <v>1857</v>
      </c>
      <c r="J325" s="18" t="s">
        <v>51</v>
      </c>
    </row>
    <row r="326" spans="1:10" ht="78.75" customHeight="1">
      <c r="A326" s="18" t="s">
        <v>1858</v>
      </c>
      <c r="B326" s="18" t="s">
        <v>230</v>
      </c>
      <c r="C326" s="19" t="s">
        <v>25</v>
      </c>
      <c r="D326" s="19" t="s">
        <v>1859</v>
      </c>
      <c r="E326" s="18" t="s">
        <v>42</v>
      </c>
      <c r="F326" s="18" t="s">
        <v>33</v>
      </c>
      <c r="G326" s="19" t="s">
        <v>920</v>
      </c>
      <c r="H326" s="19" t="s">
        <v>1860</v>
      </c>
      <c r="I326" s="19" t="s">
        <v>1861</v>
      </c>
      <c r="J326" s="18" t="s">
        <v>51</v>
      </c>
    </row>
    <row r="327" spans="1:10" ht="48.75" customHeight="1">
      <c r="A327" s="21" t="s">
        <v>1862</v>
      </c>
      <c r="B327" s="21" t="s">
        <v>230</v>
      </c>
      <c r="C327" s="22" t="s">
        <v>25</v>
      </c>
      <c r="D327" s="22" t="s">
        <v>1863</v>
      </c>
      <c r="E327" s="18" t="s">
        <v>46</v>
      </c>
      <c r="F327" s="21" t="s">
        <v>33</v>
      </c>
      <c r="G327" s="22" t="s">
        <v>823</v>
      </c>
      <c r="H327" s="22" t="s">
        <v>1864</v>
      </c>
      <c r="I327" s="22" t="s">
        <v>958</v>
      </c>
      <c r="J327" s="18" t="s">
        <v>51</v>
      </c>
    </row>
    <row r="328" spans="1:10" ht="48.75" customHeight="1">
      <c r="A328" s="18" t="s">
        <v>1865</v>
      </c>
      <c r="B328" s="18" t="s">
        <v>230</v>
      </c>
      <c r="C328" s="19" t="s">
        <v>25</v>
      </c>
      <c r="D328" s="19" t="s">
        <v>1866</v>
      </c>
      <c r="E328" s="18" t="s">
        <v>46</v>
      </c>
      <c r="F328" s="18" t="s">
        <v>33</v>
      </c>
      <c r="G328" s="19" t="s">
        <v>961</v>
      </c>
      <c r="H328" s="19" t="s">
        <v>1867</v>
      </c>
      <c r="I328" s="19" t="s">
        <v>958</v>
      </c>
      <c r="J328" s="18" t="s">
        <v>51</v>
      </c>
    </row>
    <row r="329" spans="1:10" ht="48.75" customHeight="1">
      <c r="A329" s="21" t="s">
        <v>1868</v>
      </c>
      <c r="B329" s="21" t="s">
        <v>230</v>
      </c>
      <c r="C329" s="22" t="s">
        <v>25</v>
      </c>
      <c r="D329" s="22" t="s">
        <v>1869</v>
      </c>
      <c r="E329" s="18" t="s">
        <v>46</v>
      </c>
      <c r="F329" s="21" t="s">
        <v>33</v>
      </c>
      <c r="G329" s="22" t="s">
        <v>828</v>
      </c>
      <c r="H329" s="22" t="s">
        <v>1870</v>
      </c>
      <c r="I329" s="22" t="s">
        <v>958</v>
      </c>
      <c r="J329" s="18" t="s">
        <v>51</v>
      </c>
    </row>
    <row r="330" spans="1:10" ht="78.75" customHeight="1">
      <c r="A330" s="18" t="s">
        <v>1871</v>
      </c>
      <c r="B330" s="18" t="s">
        <v>234</v>
      </c>
      <c r="C330" s="19" t="s">
        <v>25</v>
      </c>
      <c r="D330" s="19" t="s">
        <v>1872</v>
      </c>
      <c r="E330" s="18" t="s">
        <v>42</v>
      </c>
      <c r="F330" s="18" t="s">
        <v>33</v>
      </c>
      <c r="G330" s="19" t="s">
        <v>920</v>
      </c>
      <c r="H330" s="19" t="s">
        <v>1873</v>
      </c>
      <c r="I330" s="19" t="s">
        <v>1874</v>
      </c>
      <c r="J330" s="18" t="s">
        <v>51</v>
      </c>
    </row>
    <row r="331" spans="1:10" ht="78.75" customHeight="1">
      <c r="A331" s="21" t="s">
        <v>1875</v>
      </c>
      <c r="B331" s="21" t="s">
        <v>234</v>
      </c>
      <c r="C331" s="22" t="s">
        <v>25</v>
      </c>
      <c r="D331" s="22" t="s">
        <v>1876</v>
      </c>
      <c r="E331" s="18" t="s">
        <v>42</v>
      </c>
      <c r="F331" s="21" t="s">
        <v>33</v>
      </c>
      <c r="G331" s="22" t="s">
        <v>920</v>
      </c>
      <c r="H331" s="22" t="s">
        <v>1877</v>
      </c>
      <c r="I331" s="22" t="s">
        <v>1878</v>
      </c>
      <c r="J331" s="18" t="s">
        <v>51</v>
      </c>
    </row>
    <row r="332" spans="1:10" ht="78.75" customHeight="1">
      <c r="A332" s="18" t="s">
        <v>1879</v>
      </c>
      <c r="B332" s="18" t="s">
        <v>234</v>
      </c>
      <c r="C332" s="19" t="s">
        <v>25</v>
      </c>
      <c r="D332" s="19" t="s">
        <v>1880</v>
      </c>
      <c r="E332" s="18" t="s">
        <v>42</v>
      </c>
      <c r="F332" s="18" t="s">
        <v>33</v>
      </c>
      <c r="G332" s="19" t="s">
        <v>920</v>
      </c>
      <c r="H332" s="19" t="s">
        <v>1881</v>
      </c>
      <c r="I332" s="19" t="s">
        <v>1882</v>
      </c>
      <c r="J332" s="18" t="s">
        <v>51</v>
      </c>
    </row>
    <row r="333" spans="1:10" ht="78.75" customHeight="1">
      <c r="A333" s="21" t="s">
        <v>1883</v>
      </c>
      <c r="B333" s="21" t="s">
        <v>234</v>
      </c>
      <c r="C333" s="22" t="s">
        <v>25</v>
      </c>
      <c r="D333" s="22" t="s">
        <v>1884</v>
      </c>
      <c r="E333" s="18" t="s">
        <v>42</v>
      </c>
      <c r="F333" s="21" t="s">
        <v>33</v>
      </c>
      <c r="G333" s="22" t="s">
        <v>920</v>
      </c>
      <c r="H333" s="22" t="s">
        <v>1885</v>
      </c>
      <c r="I333" s="22" t="s">
        <v>1886</v>
      </c>
      <c r="J333" s="18" t="s">
        <v>51</v>
      </c>
    </row>
    <row r="334" spans="1:10" ht="48.75" customHeight="1">
      <c r="A334" s="18" t="s">
        <v>1887</v>
      </c>
      <c r="B334" s="18" t="s">
        <v>234</v>
      </c>
      <c r="C334" s="19" t="s">
        <v>25</v>
      </c>
      <c r="D334" s="19" t="s">
        <v>1888</v>
      </c>
      <c r="E334" s="18" t="s">
        <v>46</v>
      </c>
      <c r="F334" s="18" t="s">
        <v>33</v>
      </c>
      <c r="G334" s="19" t="s">
        <v>823</v>
      </c>
      <c r="H334" s="19" t="s">
        <v>1889</v>
      </c>
      <c r="I334" s="19" t="s">
        <v>958</v>
      </c>
      <c r="J334" s="18" t="s">
        <v>51</v>
      </c>
    </row>
    <row r="335" spans="1:10" ht="48.75" customHeight="1">
      <c r="A335" s="21" t="s">
        <v>1890</v>
      </c>
      <c r="B335" s="21" t="s">
        <v>234</v>
      </c>
      <c r="C335" s="22" t="s">
        <v>25</v>
      </c>
      <c r="D335" s="22" t="s">
        <v>1891</v>
      </c>
      <c r="E335" s="18" t="s">
        <v>46</v>
      </c>
      <c r="F335" s="21" t="s">
        <v>33</v>
      </c>
      <c r="G335" s="22" t="s">
        <v>961</v>
      </c>
      <c r="H335" s="22" t="s">
        <v>1892</v>
      </c>
      <c r="I335" s="22" t="s">
        <v>958</v>
      </c>
      <c r="J335" s="18" t="s">
        <v>51</v>
      </c>
    </row>
    <row r="336" spans="1:10" ht="48.75" customHeight="1">
      <c r="A336" s="18" t="s">
        <v>1893</v>
      </c>
      <c r="B336" s="18" t="s">
        <v>234</v>
      </c>
      <c r="C336" s="19" t="s">
        <v>25</v>
      </c>
      <c r="D336" s="19" t="s">
        <v>1894</v>
      </c>
      <c r="E336" s="18" t="s">
        <v>46</v>
      </c>
      <c r="F336" s="18" t="s">
        <v>33</v>
      </c>
      <c r="G336" s="19" t="s">
        <v>828</v>
      </c>
      <c r="H336" s="19" t="s">
        <v>1895</v>
      </c>
      <c r="I336" s="19" t="s">
        <v>958</v>
      </c>
      <c r="J336" s="18" t="s">
        <v>51</v>
      </c>
    </row>
    <row r="337" spans="1:10" ht="78.75" customHeight="1">
      <c r="A337" s="21" t="s">
        <v>1896</v>
      </c>
      <c r="B337" s="21" t="s">
        <v>238</v>
      </c>
      <c r="C337" s="22" t="s">
        <v>25</v>
      </c>
      <c r="D337" s="22" t="s">
        <v>1897</v>
      </c>
      <c r="E337" s="18" t="s">
        <v>42</v>
      </c>
      <c r="F337" s="21" t="s">
        <v>37</v>
      </c>
      <c r="G337" s="22" t="s">
        <v>920</v>
      </c>
      <c r="H337" s="22" t="s">
        <v>1494</v>
      </c>
      <c r="I337" s="22" t="s">
        <v>1495</v>
      </c>
      <c r="J337" s="18" t="s">
        <v>51</v>
      </c>
    </row>
    <row r="338" spans="1:10" ht="78.75" customHeight="1">
      <c r="A338" s="18" t="s">
        <v>1898</v>
      </c>
      <c r="B338" s="18" t="s">
        <v>238</v>
      </c>
      <c r="C338" s="19" t="s">
        <v>25</v>
      </c>
      <c r="D338" s="19" t="s">
        <v>1899</v>
      </c>
      <c r="E338" s="18" t="s">
        <v>42</v>
      </c>
      <c r="F338" s="18" t="s">
        <v>37</v>
      </c>
      <c r="G338" s="19" t="s">
        <v>920</v>
      </c>
      <c r="H338" s="19" t="s">
        <v>1900</v>
      </c>
      <c r="I338" s="19" t="s">
        <v>1901</v>
      </c>
      <c r="J338" s="18" t="s">
        <v>51</v>
      </c>
    </row>
    <row r="339" spans="1:10" ht="78.75" customHeight="1">
      <c r="A339" s="21" t="s">
        <v>1902</v>
      </c>
      <c r="B339" s="21" t="s">
        <v>238</v>
      </c>
      <c r="C339" s="22" t="s">
        <v>25</v>
      </c>
      <c r="D339" s="22" t="s">
        <v>1903</v>
      </c>
      <c r="E339" s="18" t="s">
        <v>42</v>
      </c>
      <c r="F339" s="21" t="s">
        <v>37</v>
      </c>
      <c r="G339" s="22" t="s">
        <v>920</v>
      </c>
      <c r="H339" s="22" t="s">
        <v>1904</v>
      </c>
      <c r="I339" s="22" t="s">
        <v>1905</v>
      </c>
      <c r="J339" s="18" t="s">
        <v>51</v>
      </c>
    </row>
    <row r="340" spans="1:10" ht="48.75" customHeight="1">
      <c r="A340" s="18" t="s">
        <v>1906</v>
      </c>
      <c r="B340" s="18" t="s">
        <v>238</v>
      </c>
      <c r="C340" s="19" t="s">
        <v>25</v>
      </c>
      <c r="D340" s="19" t="s">
        <v>1907</v>
      </c>
      <c r="E340" s="18" t="s">
        <v>46</v>
      </c>
      <c r="F340" s="18" t="s">
        <v>37</v>
      </c>
      <c r="G340" s="19" t="s">
        <v>823</v>
      </c>
      <c r="H340" s="19" t="s">
        <v>1908</v>
      </c>
      <c r="I340" s="19" t="s">
        <v>958</v>
      </c>
      <c r="J340" s="18" t="s">
        <v>51</v>
      </c>
    </row>
    <row r="341" spans="1:10" ht="48.75" customHeight="1">
      <c r="A341" s="21" t="s">
        <v>1909</v>
      </c>
      <c r="B341" s="21" t="s">
        <v>238</v>
      </c>
      <c r="C341" s="22" t="s">
        <v>25</v>
      </c>
      <c r="D341" s="22" t="s">
        <v>1910</v>
      </c>
      <c r="E341" s="18" t="s">
        <v>46</v>
      </c>
      <c r="F341" s="21" t="s">
        <v>37</v>
      </c>
      <c r="G341" s="22" t="s">
        <v>961</v>
      </c>
      <c r="H341" s="22" t="s">
        <v>1911</v>
      </c>
      <c r="I341" s="22" t="s">
        <v>958</v>
      </c>
      <c r="J341" s="18" t="s">
        <v>51</v>
      </c>
    </row>
    <row r="342" spans="1:10" ht="48.75" customHeight="1">
      <c r="A342" s="18" t="s">
        <v>1912</v>
      </c>
      <c r="B342" s="18" t="s">
        <v>238</v>
      </c>
      <c r="C342" s="19" t="s">
        <v>25</v>
      </c>
      <c r="D342" s="19" t="s">
        <v>1913</v>
      </c>
      <c r="E342" s="18" t="s">
        <v>46</v>
      </c>
      <c r="F342" s="18" t="s">
        <v>37</v>
      </c>
      <c r="G342" s="19" t="s">
        <v>828</v>
      </c>
      <c r="H342" s="19" t="s">
        <v>1914</v>
      </c>
      <c r="I342" s="19" t="s">
        <v>958</v>
      </c>
      <c r="J342" s="18" t="s">
        <v>51</v>
      </c>
    </row>
    <row r="343" spans="1:10" ht="78.75" customHeight="1">
      <c r="A343" s="21" t="s">
        <v>1915</v>
      </c>
      <c r="B343" s="21" t="s">
        <v>242</v>
      </c>
      <c r="C343" s="22" t="s">
        <v>25</v>
      </c>
      <c r="D343" s="22" t="s">
        <v>1916</v>
      </c>
      <c r="E343" s="18" t="s">
        <v>42</v>
      </c>
      <c r="F343" s="21" t="s">
        <v>37</v>
      </c>
      <c r="G343" s="22" t="s">
        <v>920</v>
      </c>
      <c r="H343" s="22" t="s">
        <v>1917</v>
      </c>
      <c r="I343" s="22" t="s">
        <v>1918</v>
      </c>
      <c r="J343" s="18" t="s">
        <v>51</v>
      </c>
    </row>
    <row r="344" spans="1:10" ht="78.75" customHeight="1">
      <c r="A344" s="18" t="s">
        <v>1919</v>
      </c>
      <c r="B344" s="18" t="s">
        <v>242</v>
      </c>
      <c r="C344" s="19" t="s">
        <v>25</v>
      </c>
      <c r="D344" s="19" t="s">
        <v>1920</v>
      </c>
      <c r="E344" s="18" t="s">
        <v>42</v>
      </c>
      <c r="F344" s="18" t="s">
        <v>37</v>
      </c>
      <c r="G344" s="19" t="s">
        <v>920</v>
      </c>
      <c r="H344" s="19" t="s">
        <v>1921</v>
      </c>
      <c r="I344" s="19" t="s">
        <v>1922</v>
      </c>
      <c r="J344" s="18" t="s">
        <v>51</v>
      </c>
    </row>
    <row r="345" spans="1:10" ht="78.75" customHeight="1">
      <c r="A345" s="21" t="s">
        <v>1923</v>
      </c>
      <c r="B345" s="21" t="s">
        <v>242</v>
      </c>
      <c r="C345" s="22" t="s">
        <v>25</v>
      </c>
      <c r="D345" s="22" t="s">
        <v>1924</v>
      </c>
      <c r="E345" s="18" t="s">
        <v>42</v>
      </c>
      <c r="F345" s="21" t="s">
        <v>37</v>
      </c>
      <c r="G345" s="22" t="s">
        <v>920</v>
      </c>
      <c r="H345" s="22" t="s">
        <v>1378</v>
      </c>
      <c r="I345" s="22" t="s">
        <v>1379</v>
      </c>
      <c r="J345" s="18" t="s">
        <v>51</v>
      </c>
    </row>
    <row r="346" spans="1:10" ht="48.75" customHeight="1">
      <c r="A346" s="18" t="s">
        <v>1925</v>
      </c>
      <c r="B346" s="18" t="s">
        <v>242</v>
      </c>
      <c r="C346" s="19" t="s">
        <v>25</v>
      </c>
      <c r="D346" s="19" t="s">
        <v>1926</v>
      </c>
      <c r="E346" s="18" t="s">
        <v>46</v>
      </c>
      <c r="F346" s="18" t="s">
        <v>37</v>
      </c>
      <c r="G346" s="19" t="s">
        <v>823</v>
      </c>
      <c r="H346" s="19" t="s">
        <v>1927</v>
      </c>
      <c r="I346" s="19" t="s">
        <v>958</v>
      </c>
      <c r="J346" s="18" t="s">
        <v>51</v>
      </c>
    </row>
    <row r="347" spans="1:10" ht="48.75" customHeight="1">
      <c r="A347" s="21" t="s">
        <v>1928</v>
      </c>
      <c r="B347" s="21" t="s">
        <v>242</v>
      </c>
      <c r="C347" s="22" t="s">
        <v>25</v>
      </c>
      <c r="D347" s="22" t="s">
        <v>1929</v>
      </c>
      <c r="E347" s="18" t="s">
        <v>46</v>
      </c>
      <c r="F347" s="21" t="s">
        <v>37</v>
      </c>
      <c r="G347" s="22" t="s">
        <v>961</v>
      </c>
      <c r="H347" s="22" t="s">
        <v>1930</v>
      </c>
      <c r="I347" s="22" t="s">
        <v>958</v>
      </c>
      <c r="J347" s="18" t="s">
        <v>51</v>
      </c>
    </row>
    <row r="348" spans="1:10" ht="48.75" customHeight="1">
      <c r="A348" s="18" t="s">
        <v>1931</v>
      </c>
      <c r="B348" s="18" t="s">
        <v>242</v>
      </c>
      <c r="C348" s="19" t="s">
        <v>25</v>
      </c>
      <c r="D348" s="19" t="s">
        <v>1932</v>
      </c>
      <c r="E348" s="18" t="s">
        <v>46</v>
      </c>
      <c r="F348" s="18" t="s">
        <v>37</v>
      </c>
      <c r="G348" s="19" t="s">
        <v>828</v>
      </c>
      <c r="H348" s="19" t="s">
        <v>1933</v>
      </c>
      <c r="I348" s="19" t="s">
        <v>958</v>
      </c>
      <c r="J348" s="18" t="s">
        <v>51</v>
      </c>
    </row>
    <row r="349" spans="1:10" ht="78.75" customHeight="1">
      <c r="A349" s="21" t="s">
        <v>1934</v>
      </c>
      <c r="B349" s="21" t="s">
        <v>246</v>
      </c>
      <c r="C349" s="22" t="s">
        <v>25</v>
      </c>
      <c r="D349" s="22" t="s">
        <v>1935</v>
      </c>
      <c r="E349" s="18" t="s">
        <v>42</v>
      </c>
      <c r="F349" s="21" t="s">
        <v>35</v>
      </c>
      <c r="G349" s="22" t="s">
        <v>920</v>
      </c>
      <c r="H349" s="22" t="s">
        <v>1936</v>
      </c>
      <c r="I349" s="22" t="s">
        <v>1937</v>
      </c>
      <c r="J349" s="18" t="s">
        <v>51</v>
      </c>
    </row>
    <row r="350" spans="1:10" ht="78.75" customHeight="1">
      <c r="A350" s="18" t="s">
        <v>1938</v>
      </c>
      <c r="B350" s="18" t="s">
        <v>246</v>
      </c>
      <c r="C350" s="19" t="s">
        <v>25</v>
      </c>
      <c r="D350" s="19" t="s">
        <v>1939</v>
      </c>
      <c r="E350" s="18" t="s">
        <v>42</v>
      </c>
      <c r="F350" s="18" t="s">
        <v>35</v>
      </c>
      <c r="G350" s="19" t="s">
        <v>920</v>
      </c>
      <c r="H350" s="19" t="s">
        <v>1419</v>
      </c>
      <c r="I350" s="19" t="s">
        <v>1420</v>
      </c>
      <c r="J350" s="18" t="s">
        <v>51</v>
      </c>
    </row>
    <row r="351" spans="1:10" ht="78.75" customHeight="1">
      <c r="A351" s="21" t="s">
        <v>1940</v>
      </c>
      <c r="B351" s="21" t="s">
        <v>246</v>
      </c>
      <c r="C351" s="22" t="s">
        <v>25</v>
      </c>
      <c r="D351" s="22" t="s">
        <v>1941</v>
      </c>
      <c r="E351" s="18" t="s">
        <v>42</v>
      </c>
      <c r="F351" s="21" t="s">
        <v>35</v>
      </c>
      <c r="G351" s="22" t="s">
        <v>920</v>
      </c>
      <c r="H351" s="22" t="s">
        <v>1942</v>
      </c>
      <c r="I351" s="22" t="s">
        <v>1943</v>
      </c>
      <c r="J351" s="18" t="s">
        <v>51</v>
      </c>
    </row>
    <row r="352" spans="1:10" ht="78.75" customHeight="1">
      <c r="A352" s="18" t="s">
        <v>1944</v>
      </c>
      <c r="B352" s="18" t="s">
        <v>246</v>
      </c>
      <c r="C352" s="19" t="s">
        <v>25</v>
      </c>
      <c r="D352" s="19" t="s">
        <v>1945</v>
      </c>
      <c r="E352" s="18" t="s">
        <v>42</v>
      </c>
      <c r="F352" s="18" t="s">
        <v>35</v>
      </c>
      <c r="G352" s="19" t="s">
        <v>920</v>
      </c>
      <c r="H352" s="19" t="s">
        <v>1946</v>
      </c>
      <c r="I352" s="19" t="s">
        <v>1947</v>
      </c>
      <c r="J352" s="18" t="s">
        <v>51</v>
      </c>
    </row>
    <row r="353" spans="1:10" ht="78.75" customHeight="1">
      <c r="A353" s="21" t="s">
        <v>1948</v>
      </c>
      <c r="B353" s="21" t="s">
        <v>246</v>
      </c>
      <c r="C353" s="22" t="s">
        <v>25</v>
      </c>
      <c r="D353" s="22" t="s">
        <v>1949</v>
      </c>
      <c r="E353" s="18" t="s">
        <v>42</v>
      </c>
      <c r="F353" s="21" t="s">
        <v>35</v>
      </c>
      <c r="G353" s="22" t="s">
        <v>920</v>
      </c>
      <c r="H353" s="22" t="s">
        <v>1950</v>
      </c>
      <c r="I353" s="22" t="s">
        <v>1951</v>
      </c>
      <c r="J353" s="18" t="s">
        <v>51</v>
      </c>
    </row>
    <row r="354" spans="1:10" ht="78.75" customHeight="1">
      <c r="A354" s="18" t="s">
        <v>1952</v>
      </c>
      <c r="B354" s="18" t="s">
        <v>246</v>
      </c>
      <c r="C354" s="19" t="s">
        <v>25</v>
      </c>
      <c r="D354" s="19" t="s">
        <v>1953</v>
      </c>
      <c r="E354" s="18" t="s">
        <v>42</v>
      </c>
      <c r="F354" s="18" t="s">
        <v>35</v>
      </c>
      <c r="G354" s="19" t="s">
        <v>920</v>
      </c>
      <c r="H354" s="19" t="s">
        <v>1954</v>
      </c>
      <c r="I354" s="19" t="s">
        <v>808</v>
      </c>
      <c r="J354" s="18" t="s">
        <v>51</v>
      </c>
    </row>
    <row r="355" spans="1:10" ht="48.75" customHeight="1">
      <c r="A355" s="21" t="s">
        <v>1955</v>
      </c>
      <c r="B355" s="21" t="s">
        <v>246</v>
      </c>
      <c r="C355" s="22" t="s">
        <v>25</v>
      </c>
      <c r="D355" s="22" t="s">
        <v>1956</v>
      </c>
      <c r="E355" s="18" t="s">
        <v>46</v>
      </c>
      <c r="F355" s="21" t="s">
        <v>35</v>
      </c>
      <c r="G355" s="22" t="s">
        <v>920</v>
      </c>
      <c r="H355" s="22" t="s">
        <v>1957</v>
      </c>
      <c r="I355" s="22" t="s">
        <v>812</v>
      </c>
      <c r="J355" s="18" t="s">
        <v>51</v>
      </c>
    </row>
    <row r="356" spans="1:10" ht="78.75" customHeight="1">
      <c r="A356" s="18" t="s">
        <v>1958</v>
      </c>
      <c r="B356" s="18" t="s">
        <v>246</v>
      </c>
      <c r="C356" s="19" t="s">
        <v>25</v>
      </c>
      <c r="D356" s="19" t="s">
        <v>1959</v>
      </c>
      <c r="E356" s="18" t="s">
        <v>44</v>
      </c>
      <c r="F356" s="18" t="s">
        <v>35</v>
      </c>
      <c r="G356" s="19" t="s">
        <v>920</v>
      </c>
      <c r="H356" s="19" t="s">
        <v>1960</v>
      </c>
      <c r="I356" s="19" t="s">
        <v>816</v>
      </c>
      <c r="J356" s="18" t="s">
        <v>51</v>
      </c>
    </row>
    <row r="357" spans="1:10" ht="78.75" customHeight="1">
      <c r="A357" s="21" t="s">
        <v>1961</v>
      </c>
      <c r="B357" s="21" t="s">
        <v>246</v>
      </c>
      <c r="C357" s="22" t="s">
        <v>25</v>
      </c>
      <c r="D357" s="22" t="s">
        <v>1962</v>
      </c>
      <c r="E357" s="18" t="s">
        <v>44</v>
      </c>
      <c r="F357" s="21" t="s">
        <v>35</v>
      </c>
      <c r="G357" s="22" t="s">
        <v>920</v>
      </c>
      <c r="H357" s="22" t="s">
        <v>1963</v>
      </c>
      <c r="I357" s="22" t="s">
        <v>820</v>
      </c>
      <c r="J357" s="18" t="s">
        <v>51</v>
      </c>
    </row>
    <row r="358" spans="1:10" ht="78.75" customHeight="1">
      <c r="A358" s="18" t="s">
        <v>1964</v>
      </c>
      <c r="B358" s="18" t="s">
        <v>246</v>
      </c>
      <c r="C358" s="19" t="s">
        <v>25</v>
      </c>
      <c r="D358" s="19" t="s">
        <v>1965</v>
      </c>
      <c r="E358" s="18" t="s">
        <v>42</v>
      </c>
      <c r="F358" s="18" t="s">
        <v>35</v>
      </c>
      <c r="G358" s="19" t="s">
        <v>920</v>
      </c>
      <c r="H358" s="19" t="s">
        <v>1966</v>
      </c>
      <c r="I358" s="19" t="s">
        <v>808</v>
      </c>
      <c r="J358" s="18" t="s">
        <v>51</v>
      </c>
    </row>
    <row r="359" spans="1:10" ht="48.75" customHeight="1">
      <c r="A359" s="21" t="s">
        <v>1967</v>
      </c>
      <c r="B359" s="21" t="s">
        <v>246</v>
      </c>
      <c r="C359" s="22" t="s">
        <v>25</v>
      </c>
      <c r="D359" s="22" t="s">
        <v>1968</v>
      </c>
      <c r="E359" s="18" t="s">
        <v>46</v>
      </c>
      <c r="F359" s="21" t="s">
        <v>35</v>
      </c>
      <c r="G359" s="22" t="s">
        <v>920</v>
      </c>
      <c r="H359" s="22" t="s">
        <v>1969</v>
      </c>
      <c r="I359" s="22" t="s">
        <v>812</v>
      </c>
      <c r="J359" s="18" t="s">
        <v>51</v>
      </c>
    </row>
    <row r="360" spans="1:10" ht="78.75" customHeight="1">
      <c r="A360" s="18" t="s">
        <v>1970</v>
      </c>
      <c r="B360" s="18" t="s">
        <v>246</v>
      </c>
      <c r="C360" s="19" t="s">
        <v>25</v>
      </c>
      <c r="D360" s="19" t="s">
        <v>1971</v>
      </c>
      <c r="E360" s="18" t="s">
        <v>44</v>
      </c>
      <c r="F360" s="18" t="s">
        <v>35</v>
      </c>
      <c r="G360" s="19" t="s">
        <v>920</v>
      </c>
      <c r="H360" s="19" t="s">
        <v>1972</v>
      </c>
      <c r="I360" s="19" t="s">
        <v>816</v>
      </c>
      <c r="J360" s="18" t="s">
        <v>51</v>
      </c>
    </row>
    <row r="361" spans="1:10" ht="78.75" customHeight="1">
      <c r="A361" s="21" t="s">
        <v>1973</v>
      </c>
      <c r="B361" s="21" t="s">
        <v>246</v>
      </c>
      <c r="C361" s="22" t="s">
        <v>25</v>
      </c>
      <c r="D361" s="22" t="s">
        <v>1974</v>
      </c>
      <c r="E361" s="18" t="s">
        <v>44</v>
      </c>
      <c r="F361" s="21" t="s">
        <v>35</v>
      </c>
      <c r="G361" s="22" t="s">
        <v>920</v>
      </c>
      <c r="H361" s="22" t="s">
        <v>1975</v>
      </c>
      <c r="I361" s="22" t="s">
        <v>820</v>
      </c>
      <c r="J361" s="18" t="s">
        <v>51</v>
      </c>
    </row>
    <row r="362" spans="1:10" ht="78.75" customHeight="1">
      <c r="A362" s="18" t="s">
        <v>1976</v>
      </c>
      <c r="B362" s="18" t="s">
        <v>246</v>
      </c>
      <c r="C362" s="19" t="s">
        <v>25</v>
      </c>
      <c r="D362" s="19" t="s">
        <v>1977</v>
      </c>
      <c r="E362" s="18" t="s">
        <v>42</v>
      </c>
      <c r="F362" s="18" t="s">
        <v>35</v>
      </c>
      <c r="G362" s="19" t="s">
        <v>920</v>
      </c>
      <c r="H362" s="19" t="s">
        <v>1978</v>
      </c>
      <c r="I362" s="19" t="s">
        <v>808</v>
      </c>
      <c r="J362" s="18" t="s">
        <v>51</v>
      </c>
    </row>
    <row r="363" spans="1:10" ht="48.75" customHeight="1">
      <c r="A363" s="21" t="s">
        <v>1979</v>
      </c>
      <c r="B363" s="21" t="s">
        <v>246</v>
      </c>
      <c r="C363" s="22" t="s">
        <v>25</v>
      </c>
      <c r="D363" s="22" t="s">
        <v>1980</v>
      </c>
      <c r="E363" s="18" t="s">
        <v>46</v>
      </c>
      <c r="F363" s="21" t="s">
        <v>35</v>
      </c>
      <c r="G363" s="22" t="s">
        <v>920</v>
      </c>
      <c r="H363" s="22" t="s">
        <v>1981</v>
      </c>
      <c r="I363" s="22" t="s">
        <v>812</v>
      </c>
      <c r="J363" s="18" t="s">
        <v>51</v>
      </c>
    </row>
    <row r="364" spans="1:10" ht="78.75" customHeight="1">
      <c r="A364" s="18" t="s">
        <v>1982</v>
      </c>
      <c r="B364" s="18" t="s">
        <v>246</v>
      </c>
      <c r="C364" s="19" t="s">
        <v>25</v>
      </c>
      <c r="D364" s="19" t="s">
        <v>1983</v>
      </c>
      <c r="E364" s="18" t="s">
        <v>44</v>
      </c>
      <c r="F364" s="18" t="s">
        <v>35</v>
      </c>
      <c r="G364" s="19" t="s">
        <v>920</v>
      </c>
      <c r="H364" s="19" t="s">
        <v>1984</v>
      </c>
      <c r="I364" s="19" t="s">
        <v>816</v>
      </c>
      <c r="J364" s="18" t="s">
        <v>51</v>
      </c>
    </row>
    <row r="365" spans="1:10" ht="78.75" customHeight="1">
      <c r="A365" s="21" t="s">
        <v>1985</v>
      </c>
      <c r="B365" s="21" t="s">
        <v>246</v>
      </c>
      <c r="C365" s="22" t="s">
        <v>25</v>
      </c>
      <c r="D365" s="22" t="s">
        <v>1986</v>
      </c>
      <c r="E365" s="18" t="s">
        <v>44</v>
      </c>
      <c r="F365" s="21" t="s">
        <v>35</v>
      </c>
      <c r="G365" s="22" t="s">
        <v>920</v>
      </c>
      <c r="H365" s="22" t="s">
        <v>1987</v>
      </c>
      <c r="I365" s="22" t="s">
        <v>820</v>
      </c>
      <c r="J365" s="18" t="s">
        <v>51</v>
      </c>
    </row>
    <row r="366" spans="1:10" ht="78.75" customHeight="1">
      <c r="A366" s="18" t="s">
        <v>1988</v>
      </c>
      <c r="B366" s="18" t="s">
        <v>246</v>
      </c>
      <c r="C366" s="19" t="s">
        <v>25</v>
      </c>
      <c r="D366" s="19" t="s">
        <v>1989</v>
      </c>
      <c r="E366" s="18" t="s">
        <v>42</v>
      </c>
      <c r="F366" s="18" t="s">
        <v>35</v>
      </c>
      <c r="G366" s="19" t="s">
        <v>920</v>
      </c>
      <c r="H366" s="19" t="s">
        <v>1990</v>
      </c>
      <c r="I366" s="19" t="s">
        <v>808</v>
      </c>
      <c r="J366" s="18" t="s">
        <v>51</v>
      </c>
    </row>
    <row r="367" spans="1:10" ht="48.75" customHeight="1">
      <c r="A367" s="21" t="s">
        <v>1991</v>
      </c>
      <c r="B367" s="21" t="s">
        <v>246</v>
      </c>
      <c r="C367" s="22" t="s">
        <v>25</v>
      </c>
      <c r="D367" s="22" t="s">
        <v>1992</v>
      </c>
      <c r="E367" s="18" t="s">
        <v>46</v>
      </c>
      <c r="F367" s="21" t="s">
        <v>35</v>
      </c>
      <c r="G367" s="22" t="s">
        <v>920</v>
      </c>
      <c r="H367" s="22" t="s">
        <v>1993</v>
      </c>
      <c r="I367" s="22" t="s">
        <v>812</v>
      </c>
      <c r="J367" s="18" t="s">
        <v>51</v>
      </c>
    </row>
    <row r="368" spans="1:10" ht="93.75" customHeight="1">
      <c r="A368" s="18" t="s">
        <v>1994</v>
      </c>
      <c r="B368" s="18" t="s">
        <v>246</v>
      </c>
      <c r="C368" s="19" t="s">
        <v>25</v>
      </c>
      <c r="D368" s="19" t="s">
        <v>1995</v>
      </c>
      <c r="E368" s="18" t="s">
        <v>44</v>
      </c>
      <c r="F368" s="18" t="s">
        <v>35</v>
      </c>
      <c r="G368" s="19" t="s">
        <v>920</v>
      </c>
      <c r="H368" s="19" t="s">
        <v>1996</v>
      </c>
      <c r="I368" s="19" t="s">
        <v>816</v>
      </c>
      <c r="J368" s="18" t="s">
        <v>51</v>
      </c>
    </row>
    <row r="369" spans="1:10" ht="78.75" customHeight="1">
      <c r="A369" s="21" t="s">
        <v>1997</v>
      </c>
      <c r="B369" s="21" t="s">
        <v>246</v>
      </c>
      <c r="C369" s="22" t="s">
        <v>25</v>
      </c>
      <c r="D369" s="22" t="s">
        <v>1998</v>
      </c>
      <c r="E369" s="18" t="s">
        <v>44</v>
      </c>
      <c r="F369" s="21" t="s">
        <v>35</v>
      </c>
      <c r="G369" s="22" t="s">
        <v>920</v>
      </c>
      <c r="H369" s="22" t="s">
        <v>1999</v>
      </c>
      <c r="I369" s="22" t="s">
        <v>820</v>
      </c>
      <c r="J369" s="18" t="s">
        <v>51</v>
      </c>
    </row>
    <row r="370" spans="1:10" ht="48.75" customHeight="1">
      <c r="A370" s="18" t="s">
        <v>2000</v>
      </c>
      <c r="B370" s="18" t="s">
        <v>246</v>
      </c>
      <c r="C370" s="19" t="s">
        <v>25</v>
      </c>
      <c r="D370" s="19" t="s">
        <v>2001</v>
      </c>
      <c r="E370" s="18" t="s">
        <v>46</v>
      </c>
      <c r="F370" s="18" t="s">
        <v>35</v>
      </c>
      <c r="G370" s="19" t="s">
        <v>823</v>
      </c>
      <c r="H370" s="19" t="s">
        <v>2002</v>
      </c>
      <c r="I370" s="19" t="s">
        <v>958</v>
      </c>
      <c r="J370" s="18" t="s">
        <v>51</v>
      </c>
    </row>
    <row r="371" spans="1:10" ht="48.75" customHeight="1">
      <c r="A371" s="21" t="s">
        <v>2003</v>
      </c>
      <c r="B371" s="21" t="s">
        <v>246</v>
      </c>
      <c r="C371" s="22" t="s">
        <v>25</v>
      </c>
      <c r="D371" s="22" t="s">
        <v>2004</v>
      </c>
      <c r="E371" s="18" t="s">
        <v>46</v>
      </c>
      <c r="F371" s="21" t="s">
        <v>35</v>
      </c>
      <c r="G371" s="22" t="s">
        <v>961</v>
      </c>
      <c r="H371" s="22" t="s">
        <v>2005</v>
      </c>
      <c r="I371" s="22" t="s">
        <v>958</v>
      </c>
      <c r="J371" s="18" t="s">
        <v>51</v>
      </c>
    </row>
    <row r="372" spans="1:10" ht="48.75" customHeight="1">
      <c r="A372" s="18" t="s">
        <v>2006</v>
      </c>
      <c r="B372" s="18" t="s">
        <v>246</v>
      </c>
      <c r="C372" s="19" t="s">
        <v>25</v>
      </c>
      <c r="D372" s="19" t="s">
        <v>2007</v>
      </c>
      <c r="E372" s="18" t="s">
        <v>46</v>
      </c>
      <c r="F372" s="18" t="s">
        <v>35</v>
      </c>
      <c r="G372" s="19" t="s">
        <v>828</v>
      </c>
      <c r="H372" s="19" t="s">
        <v>2008</v>
      </c>
      <c r="I372" s="19" t="s">
        <v>958</v>
      </c>
      <c r="J372" s="18" t="s">
        <v>51</v>
      </c>
    </row>
    <row r="373" spans="1:10" ht="78.75" customHeight="1">
      <c r="A373" s="21" t="s">
        <v>2009</v>
      </c>
      <c r="B373" s="21" t="s">
        <v>246</v>
      </c>
      <c r="C373" s="22" t="s">
        <v>25</v>
      </c>
      <c r="D373" s="22" t="s">
        <v>2010</v>
      </c>
      <c r="E373" s="18" t="s">
        <v>44</v>
      </c>
      <c r="F373" s="21" t="s">
        <v>35</v>
      </c>
      <c r="G373" s="22" t="s">
        <v>920</v>
      </c>
      <c r="H373" s="22" t="s">
        <v>1364</v>
      </c>
      <c r="I373" s="22" t="s">
        <v>1284</v>
      </c>
      <c r="J373" s="18" t="s">
        <v>51</v>
      </c>
    </row>
    <row r="374" spans="1:10" ht="78.75" customHeight="1">
      <c r="A374" s="18" t="s">
        <v>2011</v>
      </c>
      <c r="B374" s="18" t="s">
        <v>246</v>
      </c>
      <c r="C374" s="19" t="s">
        <v>25</v>
      </c>
      <c r="D374" s="19" t="s">
        <v>2012</v>
      </c>
      <c r="E374" s="18" t="s">
        <v>42</v>
      </c>
      <c r="F374" s="18" t="s">
        <v>35</v>
      </c>
      <c r="G374" s="19" t="s">
        <v>920</v>
      </c>
      <c r="H374" s="19" t="s">
        <v>1367</v>
      </c>
      <c r="I374" s="19" t="s">
        <v>1288</v>
      </c>
      <c r="J374" s="18" t="s">
        <v>51</v>
      </c>
    </row>
    <row r="375" spans="1:10" ht="108.75" customHeight="1">
      <c r="A375" s="21" t="s">
        <v>2013</v>
      </c>
      <c r="B375" s="21" t="s">
        <v>251</v>
      </c>
      <c r="C375" s="22" t="s">
        <v>25</v>
      </c>
      <c r="D375" s="22" t="s">
        <v>2014</v>
      </c>
      <c r="E375" s="18" t="s">
        <v>42</v>
      </c>
      <c r="F375" s="21" t="s">
        <v>33</v>
      </c>
      <c r="G375" s="22" t="s">
        <v>2015</v>
      </c>
      <c r="H375" s="22" t="s">
        <v>2016</v>
      </c>
      <c r="I375" s="22" t="s">
        <v>716</v>
      </c>
      <c r="J375" s="18" t="s">
        <v>51</v>
      </c>
    </row>
    <row r="376" spans="1:10" ht="78.75" customHeight="1">
      <c r="A376" s="18" t="s">
        <v>2017</v>
      </c>
      <c r="B376" s="18" t="s">
        <v>251</v>
      </c>
      <c r="C376" s="19" t="s">
        <v>25</v>
      </c>
      <c r="D376" s="19" t="s">
        <v>2018</v>
      </c>
      <c r="E376" s="18" t="s">
        <v>42</v>
      </c>
      <c r="F376" s="18" t="s">
        <v>33</v>
      </c>
      <c r="G376" s="19" t="s">
        <v>2015</v>
      </c>
      <c r="H376" s="19" t="s">
        <v>2019</v>
      </c>
      <c r="I376" s="19" t="s">
        <v>2020</v>
      </c>
      <c r="J376" s="18" t="s">
        <v>51</v>
      </c>
    </row>
    <row r="377" spans="1:10" ht="78.75" customHeight="1">
      <c r="A377" s="21" t="s">
        <v>2021</v>
      </c>
      <c r="B377" s="21" t="s">
        <v>251</v>
      </c>
      <c r="C377" s="22" t="s">
        <v>25</v>
      </c>
      <c r="D377" s="22" t="s">
        <v>2022</v>
      </c>
      <c r="E377" s="18" t="s">
        <v>42</v>
      </c>
      <c r="F377" s="21" t="s">
        <v>33</v>
      </c>
      <c r="G377" s="22" t="s">
        <v>2015</v>
      </c>
      <c r="H377" s="22" t="s">
        <v>2023</v>
      </c>
      <c r="I377" s="22" t="s">
        <v>2024</v>
      </c>
      <c r="J377" s="18" t="s">
        <v>51</v>
      </c>
    </row>
    <row r="378" spans="1:10" ht="78.75" customHeight="1">
      <c r="A378" s="18" t="s">
        <v>2025</v>
      </c>
      <c r="B378" s="18" t="s">
        <v>251</v>
      </c>
      <c r="C378" s="19" t="s">
        <v>25</v>
      </c>
      <c r="D378" s="19" t="s">
        <v>2026</v>
      </c>
      <c r="E378" s="18" t="s">
        <v>42</v>
      </c>
      <c r="F378" s="18" t="s">
        <v>33</v>
      </c>
      <c r="G378" s="19" t="s">
        <v>2015</v>
      </c>
      <c r="H378" s="19" t="s">
        <v>2027</v>
      </c>
      <c r="I378" s="19" t="s">
        <v>2028</v>
      </c>
      <c r="J378" s="18" t="s">
        <v>51</v>
      </c>
    </row>
    <row r="379" spans="1:10" ht="78.75" customHeight="1">
      <c r="A379" s="21" t="s">
        <v>2029</v>
      </c>
      <c r="B379" s="21" t="s">
        <v>251</v>
      </c>
      <c r="C379" s="22" t="s">
        <v>25</v>
      </c>
      <c r="D379" s="22" t="s">
        <v>2030</v>
      </c>
      <c r="E379" s="18" t="s">
        <v>42</v>
      </c>
      <c r="F379" s="21" t="s">
        <v>33</v>
      </c>
      <c r="G379" s="22" t="s">
        <v>2015</v>
      </c>
      <c r="H379" s="22" t="s">
        <v>2031</v>
      </c>
      <c r="I379" s="22" t="s">
        <v>2032</v>
      </c>
      <c r="J379" s="18" t="s">
        <v>51</v>
      </c>
    </row>
    <row r="380" spans="1:10" ht="78.75" customHeight="1">
      <c r="A380" s="18" t="s">
        <v>2033</v>
      </c>
      <c r="B380" s="18" t="s">
        <v>251</v>
      </c>
      <c r="C380" s="19" t="s">
        <v>25</v>
      </c>
      <c r="D380" s="19" t="s">
        <v>2034</v>
      </c>
      <c r="E380" s="18" t="s">
        <v>42</v>
      </c>
      <c r="F380" s="18" t="s">
        <v>33</v>
      </c>
      <c r="G380" s="19" t="s">
        <v>2015</v>
      </c>
      <c r="H380" s="19" t="s">
        <v>2035</v>
      </c>
      <c r="I380" s="19" t="s">
        <v>2036</v>
      </c>
      <c r="J380" s="18" t="s">
        <v>51</v>
      </c>
    </row>
    <row r="381" spans="1:10" ht="123.75" customHeight="1">
      <c r="A381" s="21" t="s">
        <v>2037</v>
      </c>
      <c r="B381" s="21" t="s">
        <v>251</v>
      </c>
      <c r="C381" s="22" t="s">
        <v>25</v>
      </c>
      <c r="D381" s="22" t="s">
        <v>2038</v>
      </c>
      <c r="E381" s="18" t="s">
        <v>48</v>
      </c>
      <c r="F381" s="21" t="s">
        <v>33</v>
      </c>
      <c r="G381" s="22" t="s">
        <v>2015</v>
      </c>
      <c r="H381" s="22" t="s">
        <v>2039</v>
      </c>
      <c r="I381" s="22" t="s">
        <v>2040</v>
      </c>
      <c r="J381" s="18" t="s">
        <v>51</v>
      </c>
    </row>
    <row r="382" spans="1:10" ht="78.75" customHeight="1">
      <c r="A382" s="18" t="s">
        <v>2041</v>
      </c>
      <c r="B382" s="18" t="s">
        <v>251</v>
      </c>
      <c r="C382" s="19" t="s">
        <v>25</v>
      </c>
      <c r="D382" s="19" t="s">
        <v>2042</v>
      </c>
      <c r="E382" s="18" t="s">
        <v>44</v>
      </c>
      <c r="F382" s="18" t="s">
        <v>33</v>
      </c>
      <c r="G382" s="19" t="s">
        <v>2015</v>
      </c>
      <c r="H382" s="19" t="s">
        <v>2043</v>
      </c>
      <c r="I382" s="19" t="s">
        <v>2044</v>
      </c>
      <c r="J382" s="18" t="s">
        <v>51</v>
      </c>
    </row>
    <row r="383" spans="1:10" ht="78.75" customHeight="1">
      <c r="A383" s="21" t="s">
        <v>2045</v>
      </c>
      <c r="B383" s="21" t="s">
        <v>251</v>
      </c>
      <c r="C383" s="22" t="s">
        <v>25</v>
      </c>
      <c r="D383" s="22" t="s">
        <v>2046</v>
      </c>
      <c r="E383" s="18" t="s">
        <v>44</v>
      </c>
      <c r="F383" s="21" t="s">
        <v>33</v>
      </c>
      <c r="G383" s="22" t="s">
        <v>2015</v>
      </c>
      <c r="H383" s="22" t="s">
        <v>2047</v>
      </c>
      <c r="I383" s="22" t="s">
        <v>2048</v>
      </c>
      <c r="J383" s="18" t="s">
        <v>51</v>
      </c>
    </row>
    <row r="384" spans="1:10" ht="63.75" customHeight="1">
      <c r="A384" s="18" t="s">
        <v>2049</v>
      </c>
      <c r="B384" s="18" t="s">
        <v>251</v>
      </c>
      <c r="C384" s="19" t="s">
        <v>25</v>
      </c>
      <c r="D384" s="19" t="s">
        <v>2050</v>
      </c>
      <c r="E384" s="18" t="s">
        <v>44</v>
      </c>
      <c r="F384" s="18" t="s">
        <v>33</v>
      </c>
      <c r="G384" s="19" t="s">
        <v>2015</v>
      </c>
      <c r="H384" s="19" t="s">
        <v>2051</v>
      </c>
      <c r="I384" s="19" t="s">
        <v>2052</v>
      </c>
      <c r="J384" s="18" t="s">
        <v>51</v>
      </c>
    </row>
    <row r="385" spans="1:10" ht="63.75" customHeight="1">
      <c r="A385" s="21" t="s">
        <v>2053</v>
      </c>
      <c r="B385" s="21" t="s">
        <v>251</v>
      </c>
      <c r="C385" s="22" t="s">
        <v>25</v>
      </c>
      <c r="D385" s="22" t="s">
        <v>2054</v>
      </c>
      <c r="E385" s="18" t="s">
        <v>44</v>
      </c>
      <c r="F385" s="21" t="s">
        <v>33</v>
      </c>
      <c r="G385" s="22" t="s">
        <v>2015</v>
      </c>
      <c r="H385" s="22" t="s">
        <v>2055</v>
      </c>
      <c r="I385" s="22" t="s">
        <v>2056</v>
      </c>
      <c r="J385" s="18" t="s">
        <v>51</v>
      </c>
    </row>
    <row r="386" spans="1:10" ht="63.75" customHeight="1">
      <c r="A386" s="18" t="s">
        <v>2057</v>
      </c>
      <c r="B386" s="18" t="s">
        <v>251</v>
      </c>
      <c r="C386" s="19" t="s">
        <v>25</v>
      </c>
      <c r="D386" s="19" t="s">
        <v>2058</v>
      </c>
      <c r="E386" s="18" t="s">
        <v>44</v>
      </c>
      <c r="F386" s="18" t="s">
        <v>33</v>
      </c>
      <c r="G386" s="19" t="s">
        <v>2015</v>
      </c>
      <c r="H386" s="19" t="s">
        <v>2059</v>
      </c>
      <c r="I386" s="19" t="s">
        <v>2060</v>
      </c>
      <c r="J386" s="18" t="s">
        <v>51</v>
      </c>
    </row>
    <row r="387" spans="1:10" ht="78.75" customHeight="1">
      <c r="A387" s="21" t="s">
        <v>2061</v>
      </c>
      <c r="B387" s="21" t="s">
        <v>251</v>
      </c>
      <c r="C387" s="22" t="s">
        <v>25</v>
      </c>
      <c r="D387" s="22" t="s">
        <v>2062</v>
      </c>
      <c r="E387" s="18" t="s">
        <v>42</v>
      </c>
      <c r="F387" s="21" t="s">
        <v>33</v>
      </c>
      <c r="G387" s="22" t="s">
        <v>2015</v>
      </c>
      <c r="H387" s="22" t="s">
        <v>2063</v>
      </c>
      <c r="I387" s="22" t="s">
        <v>808</v>
      </c>
      <c r="J387" s="18" t="s">
        <v>51</v>
      </c>
    </row>
    <row r="388" spans="1:10" ht="48.75" customHeight="1">
      <c r="A388" s="18" t="s">
        <v>2064</v>
      </c>
      <c r="B388" s="18" t="s">
        <v>251</v>
      </c>
      <c r="C388" s="19" t="s">
        <v>25</v>
      </c>
      <c r="D388" s="19" t="s">
        <v>2065</v>
      </c>
      <c r="E388" s="18" t="s">
        <v>46</v>
      </c>
      <c r="F388" s="18" t="s">
        <v>33</v>
      </c>
      <c r="G388" s="19" t="s">
        <v>2015</v>
      </c>
      <c r="H388" s="19" t="s">
        <v>2066</v>
      </c>
      <c r="I388" s="19" t="s">
        <v>812</v>
      </c>
      <c r="J388" s="18" t="s">
        <v>51</v>
      </c>
    </row>
    <row r="389" spans="1:10" ht="93.75" customHeight="1">
      <c r="A389" s="21" t="s">
        <v>2067</v>
      </c>
      <c r="B389" s="21" t="s">
        <v>251</v>
      </c>
      <c r="C389" s="22" t="s">
        <v>25</v>
      </c>
      <c r="D389" s="22" t="s">
        <v>2068</v>
      </c>
      <c r="E389" s="18" t="s">
        <v>44</v>
      </c>
      <c r="F389" s="21" t="s">
        <v>33</v>
      </c>
      <c r="G389" s="22" t="s">
        <v>2015</v>
      </c>
      <c r="H389" s="22" t="s">
        <v>2069</v>
      </c>
      <c r="I389" s="22" t="s">
        <v>816</v>
      </c>
      <c r="J389" s="18" t="s">
        <v>51</v>
      </c>
    </row>
    <row r="390" spans="1:10" ht="78.75" customHeight="1">
      <c r="A390" s="18" t="s">
        <v>2070</v>
      </c>
      <c r="B390" s="18" t="s">
        <v>251</v>
      </c>
      <c r="C390" s="19" t="s">
        <v>25</v>
      </c>
      <c r="D390" s="19" t="s">
        <v>2071</v>
      </c>
      <c r="E390" s="18" t="s">
        <v>44</v>
      </c>
      <c r="F390" s="18" t="s">
        <v>33</v>
      </c>
      <c r="G390" s="19" t="s">
        <v>2015</v>
      </c>
      <c r="H390" s="19" t="s">
        <v>2072</v>
      </c>
      <c r="I390" s="19" t="s">
        <v>820</v>
      </c>
      <c r="J390" s="18" t="s">
        <v>51</v>
      </c>
    </row>
    <row r="391" spans="1:10" ht="48.75" customHeight="1">
      <c r="A391" s="21" t="s">
        <v>2073</v>
      </c>
      <c r="B391" s="21" t="s">
        <v>251</v>
      </c>
      <c r="C391" s="22" t="s">
        <v>25</v>
      </c>
      <c r="D391" s="22" t="s">
        <v>2074</v>
      </c>
      <c r="E391" s="18" t="s">
        <v>46</v>
      </c>
      <c r="F391" s="21" t="s">
        <v>33</v>
      </c>
      <c r="G391" s="22" t="s">
        <v>823</v>
      </c>
      <c r="H391" s="22" t="s">
        <v>2075</v>
      </c>
      <c r="I391" s="22" t="s">
        <v>1482</v>
      </c>
      <c r="J391" s="18" t="s">
        <v>51</v>
      </c>
    </row>
    <row r="392" spans="1:10" ht="48.75" customHeight="1">
      <c r="A392" s="18" t="s">
        <v>2076</v>
      </c>
      <c r="B392" s="18" t="s">
        <v>251</v>
      </c>
      <c r="C392" s="19" t="s">
        <v>25</v>
      </c>
      <c r="D392" s="19" t="s">
        <v>2077</v>
      </c>
      <c r="E392" s="18" t="s">
        <v>46</v>
      </c>
      <c r="F392" s="18" t="s">
        <v>33</v>
      </c>
      <c r="G392" s="19" t="s">
        <v>961</v>
      </c>
      <c r="H392" s="19" t="s">
        <v>2078</v>
      </c>
      <c r="I392" s="19" t="s">
        <v>1482</v>
      </c>
      <c r="J392" s="18" t="s">
        <v>51</v>
      </c>
    </row>
    <row r="393" spans="1:10" ht="93.75" customHeight="1">
      <c r="A393" s="21" t="s">
        <v>2079</v>
      </c>
      <c r="B393" s="21" t="s">
        <v>251</v>
      </c>
      <c r="C393" s="22" t="s">
        <v>25</v>
      </c>
      <c r="D393" s="22" t="s">
        <v>2080</v>
      </c>
      <c r="E393" s="18" t="s">
        <v>44</v>
      </c>
      <c r="F393" s="21" t="s">
        <v>33</v>
      </c>
      <c r="G393" s="22" t="s">
        <v>2015</v>
      </c>
      <c r="H393" s="22" t="s">
        <v>2081</v>
      </c>
      <c r="I393" s="22" t="s">
        <v>833</v>
      </c>
      <c r="J393" s="18" t="s">
        <v>51</v>
      </c>
    </row>
    <row r="394" spans="1:10" ht="78.75" customHeight="1">
      <c r="A394" s="18" t="s">
        <v>2082</v>
      </c>
      <c r="B394" s="18" t="s">
        <v>259</v>
      </c>
      <c r="C394" s="19" t="s">
        <v>25</v>
      </c>
      <c r="D394" s="19" t="s">
        <v>2083</v>
      </c>
      <c r="E394" s="18" t="s">
        <v>42</v>
      </c>
      <c r="F394" s="18" t="s">
        <v>35</v>
      </c>
      <c r="G394" s="19" t="s">
        <v>1448</v>
      </c>
      <c r="H394" s="19" t="s">
        <v>2084</v>
      </c>
      <c r="I394" s="19" t="s">
        <v>2085</v>
      </c>
      <c r="J394" s="18" t="s">
        <v>51</v>
      </c>
    </row>
    <row r="395" spans="1:10" ht="78.75" customHeight="1">
      <c r="A395" s="21" t="s">
        <v>2086</v>
      </c>
      <c r="B395" s="21" t="s">
        <v>259</v>
      </c>
      <c r="C395" s="22" t="s">
        <v>25</v>
      </c>
      <c r="D395" s="22" t="s">
        <v>2087</v>
      </c>
      <c r="E395" s="18" t="s">
        <v>42</v>
      </c>
      <c r="F395" s="21" t="s">
        <v>35</v>
      </c>
      <c r="G395" s="22" t="s">
        <v>1448</v>
      </c>
      <c r="H395" s="22" t="s">
        <v>2088</v>
      </c>
      <c r="I395" s="22" t="s">
        <v>2089</v>
      </c>
      <c r="J395" s="18" t="s">
        <v>51</v>
      </c>
    </row>
    <row r="396" spans="1:10" ht="78.75" customHeight="1">
      <c r="A396" s="18" t="s">
        <v>2090</v>
      </c>
      <c r="B396" s="18" t="s">
        <v>259</v>
      </c>
      <c r="C396" s="19" t="s">
        <v>25</v>
      </c>
      <c r="D396" s="19" t="s">
        <v>2091</v>
      </c>
      <c r="E396" s="18" t="s">
        <v>42</v>
      </c>
      <c r="F396" s="18" t="s">
        <v>35</v>
      </c>
      <c r="G396" s="19" t="s">
        <v>1448</v>
      </c>
      <c r="H396" s="19" t="s">
        <v>2092</v>
      </c>
      <c r="I396" s="19" t="s">
        <v>2093</v>
      </c>
      <c r="J396" s="18" t="s">
        <v>51</v>
      </c>
    </row>
    <row r="397" spans="1:10" ht="78.75" customHeight="1">
      <c r="A397" s="21" t="s">
        <v>2094</v>
      </c>
      <c r="B397" s="21" t="s">
        <v>259</v>
      </c>
      <c r="C397" s="22" t="s">
        <v>25</v>
      </c>
      <c r="D397" s="22" t="s">
        <v>2095</v>
      </c>
      <c r="E397" s="18" t="s">
        <v>42</v>
      </c>
      <c r="F397" s="21" t="s">
        <v>35</v>
      </c>
      <c r="G397" s="22" t="s">
        <v>1448</v>
      </c>
      <c r="H397" s="22" t="s">
        <v>2096</v>
      </c>
      <c r="I397" s="22" t="s">
        <v>2097</v>
      </c>
      <c r="J397" s="18" t="s">
        <v>51</v>
      </c>
    </row>
    <row r="398" spans="1:10" ht="48.75" customHeight="1">
      <c r="A398" s="18" t="s">
        <v>2098</v>
      </c>
      <c r="B398" s="18" t="s">
        <v>259</v>
      </c>
      <c r="C398" s="19" t="s">
        <v>25</v>
      </c>
      <c r="D398" s="19" t="s">
        <v>2099</v>
      </c>
      <c r="E398" s="18" t="s">
        <v>46</v>
      </c>
      <c r="F398" s="18" t="s">
        <v>35</v>
      </c>
      <c r="G398" s="19" t="s">
        <v>823</v>
      </c>
      <c r="H398" s="19" t="s">
        <v>2100</v>
      </c>
      <c r="I398" s="19" t="s">
        <v>1482</v>
      </c>
      <c r="J398" s="18" t="s">
        <v>51</v>
      </c>
    </row>
    <row r="399" spans="1:10" ht="48.75" customHeight="1">
      <c r="A399" s="21" t="s">
        <v>2101</v>
      </c>
      <c r="B399" s="21" t="s">
        <v>259</v>
      </c>
      <c r="C399" s="22" t="s">
        <v>25</v>
      </c>
      <c r="D399" s="22" t="s">
        <v>2102</v>
      </c>
      <c r="E399" s="18" t="s">
        <v>46</v>
      </c>
      <c r="F399" s="21" t="s">
        <v>35</v>
      </c>
      <c r="G399" s="22" t="s">
        <v>961</v>
      </c>
      <c r="H399" s="22" t="s">
        <v>2103</v>
      </c>
      <c r="I399" s="22" t="s">
        <v>1482</v>
      </c>
      <c r="J399" s="18" t="s">
        <v>51</v>
      </c>
    </row>
    <row r="400" spans="1:10" ht="93.75" customHeight="1">
      <c r="A400" s="18" t="s">
        <v>2104</v>
      </c>
      <c r="B400" s="18" t="s">
        <v>259</v>
      </c>
      <c r="C400" s="19" t="s">
        <v>25</v>
      </c>
      <c r="D400" s="19" t="s">
        <v>2105</v>
      </c>
      <c r="E400" s="18" t="s">
        <v>44</v>
      </c>
      <c r="F400" s="18" t="s">
        <v>35</v>
      </c>
      <c r="G400" s="19" t="s">
        <v>1448</v>
      </c>
      <c r="H400" s="19" t="s">
        <v>2106</v>
      </c>
      <c r="I400" s="19" t="s">
        <v>833</v>
      </c>
      <c r="J400" s="18" t="s">
        <v>51</v>
      </c>
    </row>
    <row r="401" spans="1:10" ht="78.75" customHeight="1">
      <c r="A401" s="21" t="s">
        <v>2107</v>
      </c>
      <c r="B401" s="21" t="s">
        <v>263</v>
      </c>
      <c r="C401" s="22" t="s">
        <v>25</v>
      </c>
      <c r="D401" s="22" t="s">
        <v>2108</v>
      </c>
      <c r="E401" s="18" t="s">
        <v>42</v>
      </c>
      <c r="F401" s="21" t="s">
        <v>35</v>
      </c>
      <c r="G401" s="22" t="s">
        <v>920</v>
      </c>
      <c r="H401" s="22" t="s">
        <v>2109</v>
      </c>
      <c r="I401" s="22" t="s">
        <v>2110</v>
      </c>
      <c r="J401" s="18" t="s">
        <v>51</v>
      </c>
    </row>
    <row r="402" spans="1:10" ht="78.75" customHeight="1">
      <c r="A402" s="18" t="s">
        <v>2111</v>
      </c>
      <c r="B402" s="18" t="s">
        <v>263</v>
      </c>
      <c r="C402" s="19" t="s">
        <v>25</v>
      </c>
      <c r="D402" s="19" t="s">
        <v>2112</v>
      </c>
      <c r="E402" s="18" t="s">
        <v>42</v>
      </c>
      <c r="F402" s="18" t="s">
        <v>35</v>
      </c>
      <c r="G402" s="19" t="s">
        <v>920</v>
      </c>
      <c r="H402" s="19" t="s">
        <v>2113</v>
      </c>
      <c r="I402" s="19" t="s">
        <v>2114</v>
      </c>
      <c r="J402" s="18" t="s">
        <v>51</v>
      </c>
    </row>
    <row r="403" spans="1:10" ht="78.75" customHeight="1">
      <c r="A403" s="21" t="s">
        <v>2115</v>
      </c>
      <c r="B403" s="21" t="s">
        <v>263</v>
      </c>
      <c r="C403" s="22" t="s">
        <v>25</v>
      </c>
      <c r="D403" s="22" t="s">
        <v>2116</v>
      </c>
      <c r="E403" s="18" t="s">
        <v>42</v>
      </c>
      <c r="F403" s="21" t="s">
        <v>35</v>
      </c>
      <c r="G403" s="22" t="s">
        <v>920</v>
      </c>
      <c r="H403" s="22" t="s">
        <v>2117</v>
      </c>
      <c r="I403" s="22" t="s">
        <v>2118</v>
      </c>
      <c r="J403" s="18" t="s">
        <v>51</v>
      </c>
    </row>
    <row r="404" spans="1:10" ht="48.75" customHeight="1">
      <c r="A404" s="18" t="s">
        <v>2119</v>
      </c>
      <c r="B404" s="18" t="s">
        <v>263</v>
      </c>
      <c r="C404" s="19" t="s">
        <v>25</v>
      </c>
      <c r="D404" s="19" t="s">
        <v>2120</v>
      </c>
      <c r="E404" s="18" t="s">
        <v>46</v>
      </c>
      <c r="F404" s="18" t="s">
        <v>35</v>
      </c>
      <c r="G404" s="19" t="s">
        <v>823</v>
      </c>
      <c r="H404" s="19" t="s">
        <v>2121</v>
      </c>
      <c r="I404" s="19" t="s">
        <v>958</v>
      </c>
      <c r="J404" s="18" t="s">
        <v>51</v>
      </c>
    </row>
    <row r="405" spans="1:10" ht="48.75" customHeight="1">
      <c r="A405" s="21" t="s">
        <v>2122</v>
      </c>
      <c r="B405" s="21" t="s">
        <v>263</v>
      </c>
      <c r="C405" s="22" t="s">
        <v>25</v>
      </c>
      <c r="D405" s="22" t="s">
        <v>2123</v>
      </c>
      <c r="E405" s="18" t="s">
        <v>46</v>
      </c>
      <c r="F405" s="21" t="s">
        <v>35</v>
      </c>
      <c r="G405" s="22" t="s">
        <v>961</v>
      </c>
      <c r="H405" s="22" t="s">
        <v>2124</v>
      </c>
      <c r="I405" s="22" t="s">
        <v>958</v>
      </c>
      <c r="J405" s="18" t="s">
        <v>51</v>
      </c>
    </row>
    <row r="406" spans="1:10" ht="48.75" customHeight="1">
      <c r="A406" s="18" t="s">
        <v>2125</v>
      </c>
      <c r="B406" s="18" t="s">
        <v>263</v>
      </c>
      <c r="C406" s="19" t="s">
        <v>25</v>
      </c>
      <c r="D406" s="19" t="s">
        <v>2126</v>
      </c>
      <c r="E406" s="18" t="s">
        <v>46</v>
      </c>
      <c r="F406" s="18" t="s">
        <v>35</v>
      </c>
      <c r="G406" s="19" t="s">
        <v>828</v>
      </c>
      <c r="H406" s="19" t="s">
        <v>2127</v>
      </c>
      <c r="I406" s="19" t="s">
        <v>958</v>
      </c>
      <c r="J406" s="18" t="s">
        <v>51</v>
      </c>
    </row>
    <row r="407" spans="1:10" ht="93.75" customHeight="1">
      <c r="A407" s="21" t="s">
        <v>2128</v>
      </c>
      <c r="B407" s="21" t="s">
        <v>263</v>
      </c>
      <c r="C407" s="22" t="s">
        <v>25</v>
      </c>
      <c r="D407" s="22" t="s">
        <v>2129</v>
      </c>
      <c r="E407" s="18" t="s">
        <v>44</v>
      </c>
      <c r="F407" s="21" t="s">
        <v>35</v>
      </c>
      <c r="G407" s="22" t="s">
        <v>920</v>
      </c>
      <c r="H407" s="22" t="s">
        <v>1122</v>
      </c>
      <c r="I407" s="22" t="s">
        <v>833</v>
      </c>
      <c r="J407" s="18" t="s">
        <v>51</v>
      </c>
    </row>
    <row r="408" spans="1:10" ht="78.75" customHeight="1">
      <c r="A408" s="18" t="s">
        <v>2130</v>
      </c>
      <c r="B408" s="18" t="s">
        <v>267</v>
      </c>
      <c r="C408" s="19" t="s">
        <v>25</v>
      </c>
      <c r="D408" s="19" t="s">
        <v>2131</v>
      </c>
      <c r="E408" s="18" t="s">
        <v>42</v>
      </c>
      <c r="F408" s="18" t="s">
        <v>37</v>
      </c>
      <c r="G408" s="19" t="s">
        <v>920</v>
      </c>
      <c r="H408" s="19" t="s">
        <v>2132</v>
      </c>
      <c r="I408" s="19" t="s">
        <v>2133</v>
      </c>
      <c r="J408" s="18" t="s">
        <v>51</v>
      </c>
    </row>
    <row r="409" spans="1:10" ht="78.75" customHeight="1">
      <c r="A409" s="21" t="s">
        <v>2134</v>
      </c>
      <c r="B409" s="21" t="s">
        <v>267</v>
      </c>
      <c r="C409" s="22" t="s">
        <v>25</v>
      </c>
      <c r="D409" s="22" t="s">
        <v>2135</v>
      </c>
      <c r="E409" s="18" t="s">
        <v>42</v>
      </c>
      <c r="F409" s="21" t="s">
        <v>37</v>
      </c>
      <c r="G409" s="22" t="s">
        <v>920</v>
      </c>
      <c r="H409" s="22" t="s">
        <v>2136</v>
      </c>
      <c r="I409" s="22" t="s">
        <v>2137</v>
      </c>
      <c r="J409" s="18" t="s">
        <v>51</v>
      </c>
    </row>
    <row r="410" spans="1:10" ht="78.75" customHeight="1">
      <c r="A410" s="18" t="s">
        <v>2138</v>
      </c>
      <c r="B410" s="18" t="s">
        <v>267</v>
      </c>
      <c r="C410" s="19" t="s">
        <v>25</v>
      </c>
      <c r="D410" s="19" t="s">
        <v>2139</v>
      </c>
      <c r="E410" s="18" t="s">
        <v>42</v>
      </c>
      <c r="F410" s="18" t="s">
        <v>37</v>
      </c>
      <c r="G410" s="19" t="s">
        <v>920</v>
      </c>
      <c r="H410" s="19" t="s">
        <v>2140</v>
      </c>
      <c r="I410" s="19" t="s">
        <v>2141</v>
      </c>
      <c r="J410" s="18" t="s">
        <v>51</v>
      </c>
    </row>
    <row r="411" spans="1:10" ht="48.75" customHeight="1">
      <c r="A411" s="21" t="s">
        <v>2142</v>
      </c>
      <c r="B411" s="21" t="s">
        <v>267</v>
      </c>
      <c r="C411" s="22" t="s">
        <v>25</v>
      </c>
      <c r="D411" s="22" t="s">
        <v>2143</v>
      </c>
      <c r="E411" s="18" t="s">
        <v>46</v>
      </c>
      <c r="F411" s="21" t="s">
        <v>37</v>
      </c>
      <c r="G411" s="22" t="s">
        <v>823</v>
      </c>
      <c r="H411" s="22" t="s">
        <v>2144</v>
      </c>
      <c r="I411" s="22" t="s">
        <v>958</v>
      </c>
      <c r="J411" s="18" t="s">
        <v>51</v>
      </c>
    </row>
    <row r="412" spans="1:10" ht="48.75" customHeight="1">
      <c r="A412" s="18" t="s">
        <v>2145</v>
      </c>
      <c r="B412" s="18" t="s">
        <v>267</v>
      </c>
      <c r="C412" s="19" t="s">
        <v>25</v>
      </c>
      <c r="D412" s="19" t="s">
        <v>2146</v>
      </c>
      <c r="E412" s="18" t="s">
        <v>46</v>
      </c>
      <c r="F412" s="18" t="s">
        <v>37</v>
      </c>
      <c r="G412" s="19" t="s">
        <v>961</v>
      </c>
      <c r="H412" s="19" t="s">
        <v>2147</v>
      </c>
      <c r="I412" s="19" t="s">
        <v>958</v>
      </c>
      <c r="J412" s="18" t="s">
        <v>51</v>
      </c>
    </row>
    <row r="413" spans="1:10" ht="48.75" customHeight="1">
      <c r="A413" s="21" t="s">
        <v>2148</v>
      </c>
      <c r="B413" s="21" t="s">
        <v>267</v>
      </c>
      <c r="C413" s="22" t="s">
        <v>25</v>
      </c>
      <c r="D413" s="22" t="s">
        <v>2149</v>
      </c>
      <c r="E413" s="18" t="s">
        <v>46</v>
      </c>
      <c r="F413" s="21" t="s">
        <v>37</v>
      </c>
      <c r="G413" s="22" t="s">
        <v>828</v>
      </c>
      <c r="H413" s="22" t="s">
        <v>2150</v>
      </c>
      <c r="I413" s="22" t="s">
        <v>958</v>
      </c>
      <c r="J413" s="18" t="s">
        <v>51</v>
      </c>
    </row>
    <row r="414" spans="1:10" ht="78.75" customHeight="1">
      <c r="A414" s="18" t="s">
        <v>2151</v>
      </c>
      <c r="B414" s="18" t="s">
        <v>271</v>
      </c>
      <c r="C414" s="19" t="s">
        <v>25</v>
      </c>
      <c r="D414" s="19" t="s">
        <v>2152</v>
      </c>
      <c r="E414" s="18" t="s">
        <v>44</v>
      </c>
      <c r="F414" s="18" t="s">
        <v>33</v>
      </c>
      <c r="G414" s="19" t="s">
        <v>920</v>
      </c>
      <c r="H414" s="19" t="s">
        <v>2153</v>
      </c>
      <c r="I414" s="19" t="s">
        <v>2154</v>
      </c>
      <c r="J414" s="18" t="s">
        <v>51</v>
      </c>
    </row>
    <row r="415" spans="1:10" ht="78.75" customHeight="1">
      <c r="A415" s="21" t="s">
        <v>2155</v>
      </c>
      <c r="B415" s="21" t="s">
        <v>271</v>
      </c>
      <c r="C415" s="22" t="s">
        <v>25</v>
      </c>
      <c r="D415" s="22" t="s">
        <v>2156</v>
      </c>
      <c r="E415" s="18" t="s">
        <v>42</v>
      </c>
      <c r="F415" s="21" t="s">
        <v>33</v>
      </c>
      <c r="G415" s="22" t="s">
        <v>920</v>
      </c>
      <c r="H415" s="22" t="s">
        <v>2157</v>
      </c>
      <c r="I415" s="22" t="s">
        <v>2158</v>
      </c>
      <c r="J415" s="18" t="s">
        <v>51</v>
      </c>
    </row>
    <row r="416" spans="1:10" ht="78.75" customHeight="1">
      <c r="A416" s="18" t="s">
        <v>2159</v>
      </c>
      <c r="B416" s="18" t="s">
        <v>271</v>
      </c>
      <c r="C416" s="19" t="s">
        <v>25</v>
      </c>
      <c r="D416" s="19" t="s">
        <v>2160</v>
      </c>
      <c r="E416" s="18" t="s">
        <v>44</v>
      </c>
      <c r="F416" s="18" t="s">
        <v>33</v>
      </c>
      <c r="G416" s="19" t="s">
        <v>920</v>
      </c>
      <c r="H416" s="19" t="s">
        <v>2161</v>
      </c>
      <c r="I416" s="19" t="s">
        <v>2162</v>
      </c>
      <c r="J416" s="18" t="s">
        <v>51</v>
      </c>
    </row>
    <row r="417" spans="1:10" ht="78.75" customHeight="1">
      <c r="A417" s="21" t="s">
        <v>2163</v>
      </c>
      <c r="B417" s="21" t="s">
        <v>271</v>
      </c>
      <c r="C417" s="22" t="s">
        <v>25</v>
      </c>
      <c r="D417" s="22" t="s">
        <v>2164</v>
      </c>
      <c r="E417" s="18" t="s">
        <v>44</v>
      </c>
      <c r="F417" s="21" t="s">
        <v>33</v>
      </c>
      <c r="G417" s="22" t="s">
        <v>920</v>
      </c>
      <c r="H417" s="22" t="s">
        <v>2165</v>
      </c>
      <c r="I417" s="22" t="s">
        <v>2166</v>
      </c>
      <c r="J417" s="18" t="s">
        <v>51</v>
      </c>
    </row>
    <row r="418" spans="1:10" ht="123.75" customHeight="1">
      <c r="A418" s="18" t="s">
        <v>2167</v>
      </c>
      <c r="B418" s="18" t="s">
        <v>271</v>
      </c>
      <c r="C418" s="19" t="s">
        <v>25</v>
      </c>
      <c r="D418" s="19" t="s">
        <v>2168</v>
      </c>
      <c r="E418" s="18" t="s">
        <v>48</v>
      </c>
      <c r="F418" s="18" t="s">
        <v>33</v>
      </c>
      <c r="G418" s="19" t="s">
        <v>920</v>
      </c>
      <c r="H418" s="19" t="s">
        <v>2169</v>
      </c>
      <c r="I418" s="19" t="s">
        <v>2170</v>
      </c>
      <c r="J418" s="18" t="s">
        <v>51</v>
      </c>
    </row>
    <row r="419" spans="1:10" ht="78.75" customHeight="1">
      <c r="A419" s="21" t="s">
        <v>2171</v>
      </c>
      <c r="B419" s="21" t="s">
        <v>271</v>
      </c>
      <c r="C419" s="22" t="s">
        <v>25</v>
      </c>
      <c r="D419" s="22" t="s">
        <v>2172</v>
      </c>
      <c r="E419" s="18" t="s">
        <v>44</v>
      </c>
      <c r="F419" s="21" t="s">
        <v>33</v>
      </c>
      <c r="G419" s="22" t="s">
        <v>920</v>
      </c>
      <c r="H419" s="22" t="s">
        <v>2173</v>
      </c>
      <c r="I419" s="22" t="s">
        <v>2174</v>
      </c>
      <c r="J419" s="18" t="s">
        <v>51</v>
      </c>
    </row>
    <row r="420" spans="1:10" ht="48.75" customHeight="1">
      <c r="A420" s="18" t="s">
        <v>2175</v>
      </c>
      <c r="B420" s="18" t="s">
        <v>271</v>
      </c>
      <c r="C420" s="19" t="s">
        <v>25</v>
      </c>
      <c r="D420" s="19" t="s">
        <v>2176</v>
      </c>
      <c r="E420" s="18" t="s">
        <v>46</v>
      </c>
      <c r="F420" s="18" t="s">
        <v>33</v>
      </c>
      <c r="G420" s="19" t="s">
        <v>823</v>
      </c>
      <c r="H420" s="19" t="s">
        <v>2177</v>
      </c>
      <c r="I420" s="19" t="s">
        <v>958</v>
      </c>
      <c r="J420" s="18" t="s">
        <v>51</v>
      </c>
    </row>
    <row r="421" spans="1:10" ht="48.75" customHeight="1">
      <c r="A421" s="21" t="s">
        <v>2178</v>
      </c>
      <c r="B421" s="21" t="s">
        <v>271</v>
      </c>
      <c r="C421" s="22" t="s">
        <v>25</v>
      </c>
      <c r="D421" s="22" t="s">
        <v>2179</v>
      </c>
      <c r="E421" s="18" t="s">
        <v>46</v>
      </c>
      <c r="F421" s="21" t="s">
        <v>33</v>
      </c>
      <c r="G421" s="22" t="s">
        <v>961</v>
      </c>
      <c r="H421" s="22" t="s">
        <v>2180</v>
      </c>
      <c r="I421" s="22" t="s">
        <v>958</v>
      </c>
      <c r="J421" s="18" t="s">
        <v>51</v>
      </c>
    </row>
    <row r="422" spans="1:10" ht="48.75" customHeight="1">
      <c r="A422" s="18" t="s">
        <v>2181</v>
      </c>
      <c r="B422" s="18" t="s">
        <v>271</v>
      </c>
      <c r="C422" s="19" t="s">
        <v>25</v>
      </c>
      <c r="D422" s="19" t="s">
        <v>2182</v>
      </c>
      <c r="E422" s="18" t="s">
        <v>46</v>
      </c>
      <c r="F422" s="18" t="s">
        <v>33</v>
      </c>
      <c r="G422" s="19" t="s">
        <v>828</v>
      </c>
      <c r="H422" s="19" t="s">
        <v>2183</v>
      </c>
      <c r="I422" s="19" t="s">
        <v>958</v>
      </c>
      <c r="J422" s="18" t="s">
        <v>51</v>
      </c>
    </row>
    <row r="423" spans="1:10" ht="78.75" customHeight="1">
      <c r="A423" s="21" t="s">
        <v>2184</v>
      </c>
      <c r="B423" s="21" t="s">
        <v>276</v>
      </c>
      <c r="C423" s="22" t="s">
        <v>25</v>
      </c>
      <c r="D423" s="22" t="s">
        <v>2185</v>
      </c>
      <c r="E423" s="18" t="s">
        <v>42</v>
      </c>
      <c r="F423" s="21" t="s">
        <v>33</v>
      </c>
      <c r="G423" s="22" t="s">
        <v>2186</v>
      </c>
      <c r="H423" s="22" t="s">
        <v>2187</v>
      </c>
      <c r="I423" s="22" t="s">
        <v>2188</v>
      </c>
      <c r="J423" s="18" t="s">
        <v>51</v>
      </c>
    </row>
    <row r="424" spans="1:10" ht="78.75" customHeight="1">
      <c r="A424" s="18" t="s">
        <v>2189</v>
      </c>
      <c r="B424" s="18" t="s">
        <v>276</v>
      </c>
      <c r="C424" s="19" t="s">
        <v>25</v>
      </c>
      <c r="D424" s="19" t="s">
        <v>2190</v>
      </c>
      <c r="E424" s="18" t="s">
        <v>42</v>
      </c>
      <c r="F424" s="18" t="s">
        <v>33</v>
      </c>
      <c r="G424" s="19" t="s">
        <v>2186</v>
      </c>
      <c r="H424" s="19" t="s">
        <v>2191</v>
      </c>
      <c r="I424" s="19" t="s">
        <v>2192</v>
      </c>
      <c r="J424" s="18" t="s">
        <v>51</v>
      </c>
    </row>
    <row r="425" spans="1:10" ht="78.75" customHeight="1">
      <c r="A425" s="21" t="s">
        <v>2193</v>
      </c>
      <c r="B425" s="21" t="s">
        <v>276</v>
      </c>
      <c r="C425" s="22" t="s">
        <v>25</v>
      </c>
      <c r="D425" s="22" t="s">
        <v>2194</v>
      </c>
      <c r="E425" s="18" t="s">
        <v>42</v>
      </c>
      <c r="F425" s="21" t="s">
        <v>33</v>
      </c>
      <c r="G425" s="22" t="s">
        <v>2186</v>
      </c>
      <c r="H425" s="22" t="s">
        <v>2195</v>
      </c>
      <c r="I425" s="22" t="s">
        <v>2196</v>
      </c>
      <c r="J425" s="18" t="s">
        <v>51</v>
      </c>
    </row>
    <row r="426" spans="1:10" ht="78.75" customHeight="1">
      <c r="A426" s="18" t="s">
        <v>2197</v>
      </c>
      <c r="B426" s="18" t="s">
        <v>276</v>
      </c>
      <c r="C426" s="19" t="s">
        <v>25</v>
      </c>
      <c r="D426" s="19" t="s">
        <v>2198</v>
      </c>
      <c r="E426" s="18" t="s">
        <v>42</v>
      </c>
      <c r="F426" s="18" t="s">
        <v>33</v>
      </c>
      <c r="G426" s="19" t="s">
        <v>2186</v>
      </c>
      <c r="H426" s="19" t="s">
        <v>2199</v>
      </c>
      <c r="I426" s="19" t="s">
        <v>2200</v>
      </c>
      <c r="J426" s="18" t="s">
        <v>51</v>
      </c>
    </row>
    <row r="427" spans="1:10" ht="78.75" customHeight="1">
      <c r="A427" s="21" t="s">
        <v>2201</v>
      </c>
      <c r="B427" s="21" t="s">
        <v>276</v>
      </c>
      <c r="C427" s="22" t="s">
        <v>25</v>
      </c>
      <c r="D427" s="22" t="s">
        <v>2202</v>
      </c>
      <c r="E427" s="18" t="s">
        <v>44</v>
      </c>
      <c r="F427" s="21" t="s">
        <v>33</v>
      </c>
      <c r="G427" s="22" t="s">
        <v>2186</v>
      </c>
      <c r="H427" s="22" t="s">
        <v>2203</v>
      </c>
      <c r="I427" s="22" t="s">
        <v>2204</v>
      </c>
      <c r="J427" s="18" t="s">
        <v>51</v>
      </c>
    </row>
    <row r="428" spans="1:10" ht="78.75" customHeight="1">
      <c r="A428" s="18" t="s">
        <v>2205</v>
      </c>
      <c r="B428" s="18" t="s">
        <v>276</v>
      </c>
      <c r="C428" s="19" t="s">
        <v>25</v>
      </c>
      <c r="D428" s="19" t="s">
        <v>2206</v>
      </c>
      <c r="E428" s="18" t="s">
        <v>42</v>
      </c>
      <c r="F428" s="18" t="s">
        <v>33</v>
      </c>
      <c r="G428" s="19" t="s">
        <v>2186</v>
      </c>
      <c r="H428" s="19" t="s">
        <v>2207</v>
      </c>
      <c r="I428" s="19" t="s">
        <v>808</v>
      </c>
      <c r="J428" s="18" t="s">
        <v>51</v>
      </c>
    </row>
    <row r="429" spans="1:10" ht="48.75" customHeight="1">
      <c r="A429" s="21" t="s">
        <v>2208</v>
      </c>
      <c r="B429" s="21" t="s">
        <v>276</v>
      </c>
      <c r="C429" s="22" t="s">
        <v>25</v>
      </c>
      <c r="D429" s="22" t="s">
        <v>2209</v>
      </c>
      <c r="E429" s="18" t="s">
        <v>46</v>
      </c>
      <c r="F429" s="21" t="s">
        <v>33</v>
      </c>
      <c r="G429" s="22" t="s">
        <v>2186</v>
      </c>
      <c r="H429" s="22" t="s">
        <v>2210</v>
      </c>
      <c r="I429" s="22" t="s">
        <v>812</v>
      </c>
      <c r="J429" s="18" t="s">
        <v>51</v>
      </c>
    </row>
    <row r="430" spans="1:10" ht="78.75" customHeight="1">
      <c r="A430" s="18" t="s">
        <v>2211</v>
      </c>
      <c r="B430" s="18" t="s">
        <v>276</v>
      </c>
      <c r="C430" s="19" t="s">
        <v>25</v>
      </c>
      <c r="D430" s="19" t="s">
        <v>2212</v>
      </c>
      <c r="E430" s="18" t="s">
        <v>44</v>
      </c>
      <c r="F430" s="18" t="s">
        <v>33</v>
      </c>
      <c r="G430" s="19" t="s">
        <v>2186</v>
      </c>
      <c r="H430" s="19" t="s">
        <v>2213</v>
      </c>
      <c r="I430" s="19" t="s">
        <v>816</v>
      </c>
      <c r="J430" s="18" t="s">
        <v>51</v>
      </c>
    </row>
    <row r="431" spans="1:10" ht="78.75" customHeight="1">
      <c r="A431" s="21" t="s">
        <v>2214</v>
      </c>
      <c r="B431" s="21" t="s">
        <v>276</v>
      </c>
      <c r="C431" s="22" t="s">
        <v>25</v>
      </c>
      <c r="D431" s="22" t="s">
        <v>2215</v>
      </c>
      <c r="E431" s="18" t="s">
        <v>44</v>
      </c>
      <c r="F431" s="21" t="s">
        <v>33</v>
      </c>
      <c r="G431" s="22" t="s">
        <v>2186</v>
      </c>
      <c r="H431" s="22" t="s">
        <v>2216</v>
      </c>
      <c r="I431" s="22" t="s">
        <v>820</v>
      </c>
      <c r="J431" s="18" t="s">
        <v>51</v>
      </c>
    </row>
    <row r="432" spans="1:10" ht="78.75" customHeight="1">
      <c r="A432" s="18" t="s">
        <v>2217</v>
      </c>
      <c r="B432" s="18" t="s">
        <v>282</v>
      </c>
      <c r="C432" s="19" t="s">
        <v>25</v>
      </c>
      <c r="D432" s="19" t="s">
        <v>2218</v>
      </c>
      <c r="E432" s="18" t="s">
        <v>42</v>
      </c>
      <c r="F432" s="18" t="s">
        <v>33</v>
      </c>
      <c r="G432" s="19" t="s">
        <v>836</v>
      </c>
      <c r="H432" s="19" t="s">
        <v>2219</v>
      </c>
      <c r="I432" s="19" t="s">
        <v>2220</v>
      </c>
      <c r="J432" s="18" t="s">
        <v>51</v>
      </c>
    </row>
    <row r="433" spans="1:10" ht="78.75" customHeight="1">
      <c r="A433" s="21" t="s">
        <v>2221</v>
      </c>
      <c r="B433" s="21" t="s">
        <v>282</v>
      </c>
      <c r="C433" s="22" t="s">
        <v>25</v>
      </c>
      <c r="D433" s="22" t="s">
        <v>2222</v>
      </c>
      <c r="E433" s="18" t="s">
        <v>42</v>
      </c>
      <c r="F433" s="21" t="s">
        <v>33</v>
      </c>
      <c r="G433" s="22" t="s">
        <v>836</v>
      </c>
      <c r="H433" s="22" t="s">
        <v>2223</v>
      </c>
      <c r="I433" s="22" t="s">
        <v>2224</v>
      </c>
      <c r="J433" s="18" t="s">
        <v>51</v>
      </c>
    </row>
    <row r="434" spans="1:10" ht="78.75" customHeight="1">
      <c r="A434" s="18" t="s">
        <v>2225</v>
      </c>
      <c r="B434" s="18" t="s">
        <v>282</v>
      </c>
      <c r="C434" s="19" t="s">
        <v>25</v>
      </c>
      <c r="D434" s="19" t="s">
        <v>2226</v>
      </c>
      <c r="E434" s="18" t="s">
        <v>44</v>
      </c>
      <c r="F434" s="18" t="s">
        <v>33</v>
      </c>
      <c r="G434" s="19" t="s">
        <v>836</v>
      </c>
      <c r="H434" s="19" t="s">
        <v>2227</v>
      </c>
      <c r="I434" s="19" t="s">
        <v>2228</v>
      </c>
      <c r="J434" s="18" t="s">
        <v>51</v>
      </c>
    </row>
    <row r="435" spans="1:10" ht="78.75" customHeight="1">
      <c r="A435" s="21" t="s">
        <v>2229</v>
      </c>
      <c r="B435" s="21" t="s">
        <v>282</v>
      </c>
      <c r="C435" s="22" t="s">
        <v>25</v>
      </c>
      <c r="D435" s="22" t="s">
        <v>2230</v>
      </c>
      <c r="E435" s="18" t="s">
        <v>42</v>
      </c>
      <c r="F435" s="21" t="s">
        <v>33</v>
      </c>
      <c r="G435" s="22" t="s">
        <v>836</v>
      </c>
      <c r="H435" s="22" t="s">
        <v>2231</v>
      </c>
      <c r="I435" s="22" t="s">
        <v>2232</v>
      </c>
      <c r="J435" s="18" t="s">
        <v>51</v>
      </c>
    </row>
    <row r="436" spans="1:10" ht="48.75" customHeight="1">
      <c r="A436" s="18" t="s">
        <v>2233</v>
      </c>
      <c r="B436" s="18" t="s">
        <v>282</v>
      </c>
      <c r="C436" s="19" t="s">
        <v>25</v>
      </c>
      <c r="D436" s="19" t="s">
        <v>2234</v>
      </c>
      <c r="E436" s="18" t="s">
        <v>46</v>
      </c>
      <c r="F436" s="18" t="s">
        <v>33</v>
      </c>
      <c r="G436" s="19" t="s">
        <v>823</v>
      </c>
      <c r="H436" s="19" t="s">
        <v>2235</v>
      </c>
      <c r="I436" s="19" t="s">
        <v>825</v>
      </c>
      <c r="J436" s="18" t="s">
        <v>51</v>
      </c>
    </row>
    <row r="437" spans="1:10" ht="48.75" customHeight="1">
      <c r="A437" s="21" t="s">
        <v>2236</v>
      </c>
      <c r="B437" s="21" t="s">
        <v>282</v>
      </c>
      <c r="C437" s="22" t="s">
        <v>25</v>
      </c>
      <c r="D437" s="22" t="s">
        <v>2237</v>
      </c>
      <c r="E437" s="18" t="s">
        <v>46</v>
      </c>
      <c r="F437" s="21" t="s">
        <v>33</v>
      </c>
      <c r="G437" s="22" t="s">
        <v>828</v>
      </c>
      <c r="H437" s="22" t="s">
        <v>2238</v>
      </c>
      <c r="I437" s="22" t="s">
        <v>825</v>
      </c>
      <c r="J437" s="18" t="s">
        <v>51</v>
      </c>
    </row>
    <row r="438" spans="1:10" ht="78.75" customHeight="1">
      <c r="A438" s="18" t="s">
        <v>2239</v>
      </c>
      <c r="B438" s="18" t="s">
        <v>286</v>
      </c>
      <c r="C438" s="19" t="s">
        <v>25</v>
      </c>
      <c r="D438" s="19" t="s">
        <v>2240</v>
      </c>
      <c r="E438" s="18" t="s">
        <v>44</v>
      </c>
      <c r="F438" s="18" t="s">
        <v>37</v>
      </c>
      <c r="G438" s="19" t="s">
        <v>920</v>
      </c>
      <c r="H438" s="19" t="s">
        <v>2241</v>
      </c>
      <c r="I438" s="19" t="s">
        <v>2242</v>
      </c>
      <c r="J438" s="18" t="s">
        <v>51</v>
      </c>
    </row>
    <row r="439" spans="1:10" ht="78.75" customHeight="1">
      <c r="A439" s="21" t="s">
        <v>2243</v>
      </c>
      <c r="B439" s="21" t="s">
        <v>286</v>
      </c>
      <c r="C439" s="22" t="s">
        <v>25</v>
      </c>
      <c r="D439" s="22" t="s">
        <v>2244</v>
      </c>
      <c r="E439" s="18" t="s">
        <v>42</v>
      </c>
      <c r="F439" s="21" t="s">
        <v>37</v>
      </c>
      <c r="G439" s="22" t="s">
        <v>920</v>
      </c>
      <c r="H439" s="22" t="s">
        <v>2245</v>
      </c>
      <c r="I439" s="22" t="s">
        <v>2246</v>
      </c>
      <c r="J439" s="18" t="s">
        <v>51</v>
      </c>
    </row>
    <row r="440" spans="1:10" ht="78.75" customHeight="1">
      <c r="A440" s="18" t="s">
        <v>2247</v>
      </c>
      <c r="B440" s="18" t="s">
        <v>286</v>
      </c>
      <c r="C440" s="19" t="s">
        <v>25</v>
      </c>
      <c r="D440" s="19" t="s">
        <v>2248</v>
      </c>
      <c r="E440" s="18" t="s">
        <v>42</v>
      </c>
      <c r="F440" s="18" t="s">
        <v>37</v>
      </c>
      <c r="G440" s="19" t="s">
        <v>920</v>
      </c>
      <c r="H440" s="19" t="s">
        <v>2249</v>
      </c>
      <c r="I440" s="19" t="s">
        <v>2036</v>
      </c>
      <c r="J440" s="18" t="s">
        <v>51</v>
      </c>
    </row>
    <row r="441" spans="1:10" ht="48.75" customHeight="1">
      <c r="A441" s="21" t="s">
        <v>2250</v>
      </c>
      <c r="B441" s="21" t="s">
        <v>286</v>
      </c>
      <c r="C441" s="22" t="s">
        <v>25</v>
      </c>
      <c r="D441" s="22" t="s">
        <v>2251</v>
      </c>
      <c r="E441" s="18" t="s">
        <v>46</v>
      </c>
      <c r="F441" s="21" t="s">
        <v>37</v>
      </c>
      <c r="G441" s="22" t="s">
        <v>823</v>
      </c>
      <c r="H441" s="22" t="s">
        <v>2252</v>
      </c>
      <c r="I441" s="22" t="s">
        <v>958</v>
      </c>
      <c r="J441" s="18" t="s">
        <v>51</v>
      </c>
    </row>
    <row r="442" spans="1:10" ht="48.75" customHeight="1">
      <c r="A442" s="18" t="s">
        <v>2253</v>
      </c>
      <c r="B442" s="18" t="s">
        <v>286</v>
      </c>
      <c r="C442" s="19" t="s">
        <v>25</v>
      </c>
      <c r="D442" s="19" t="s">
        <v>2254</v>
      </c>
      <c r="E442" s="18" t="s">
        <v>46</v>
      </c>
      <c r="F442" s="18" t="s">
        <v>37</v>
      </c>
      <c r="G442" s="19" t="s">
        <v>961</v>
      </c>
      <c r="H442" s="19" t="s">
        <v>2255</v>
      </c>
      <c r="I442" s="19" t="s">
        <v>958</v>
      </c>
      <c r="J442" s="18" t="s">
        <v>51</v>
      </c>
    </row>
    <row r="443" spans="1:10" ht="48.75" customHeight="1">
      <c r="A443" s="21" t="s">
        <v>2256</v>
      </c>
      <c r="B443" s="21" t="s">
        <v>286</v>
      </c>
      <c r="C443" s="22" t="s">
        <v>25</v>
      </c>
      <c r="D443" s="22" t="s">
        <v>2257</v>
      </c>
      <c r="E443" s="18" t="s">
        <v>46</v>
      </c>
      <c r="F443" s="21" t="s">
        <v>37</v>
      </c>
      <c r="G443" s="22" t="s">
        <v>828</v>
      </c>
      <c r="H443" s="22" t="s">
        <v>2258</v>
      </c>
      <c r="I443" s="22" t="s">
        <v>958</v>
      </c>
      <c r="J443" s="18" t="s">
        <v>51</v>
      </c>
    </row>
    <row r="444" spans="1:10" ht="78.75" customHeight="1">
      <c r="A444" s="18" t="s">
        <v>2259</v>
      </c>
      <c r="B444" s="18" t="s">
        <v>290</v>
      </c>
      <c r="C444" s="19" t="s">
        <v>25</v>
      </c>
      <c r="D444" s="19" t="s">
        <v>2260</v>
      </c>
      <c r="E444" s="18" t="s">
        <v>42</v>
      </c>
      <c r="F444" s="18" t="s">
        <v>37</v>
      </c>
      <c r="G444" s="19" t="s">
        <v>920</v>
      </c>
      <c r="H444" s="19" t="s">
        <v>2261</v>
      </c>
      <c r="I444" s="19" t="s">
        <v>2262</v>
      </c>
      <c r="J444" s="18" t="s">
        <v>51</v>
      </c>
    </row>
    <row r="445" spans="1:10" ht="78.75" customHeight="1">
      <c r="A445" s="21" t="s">
        <v>2263</v>
      </c>
      <c r="B445" s="21" t="s">
        <v>290</v>
      </c>
      <c r="C445" s="22" t="s">
        <v>25</v>
      </c>
      <c r="D445" s="22" t="s">
        <v>2264</v>
      </c>
      <c r="E445" s="18" t="s">
        <v>42</v>
      </c>
      <c r="F445" s="21" t="s">
        <v>37</v>
      </c>
      <c r="G445" s="22" t="s">
        <v>920</v>
      </c>
      <c r="H445" s="22" t="s">
        <v>2265</v>
      </c>
      <c r="I445" s="22" t="s">
        <v>2266</v>
      </c>
      <c r="J445" s="18" t="s">
        <v>51</v>
      </c>
    </row>
    <row r="446" spans="1:10" ht="78.75" customHeight="1">
      <c r="A446" s="18" t="s">
        <v>2267</v>
      </c>
      <c r="B446" s="18" t="s">
        <v>290</v>
      </c>
      <c r="C446" s="19" t="s">
        <v>25</v>
      </c>
      <c r="D446" s="19" t="s">
        <v>2268</v>
      </c>
      <c r="E446" s="18" t="s">
        <v>42</v>
      </c>
      <c r="F446" s="18" t="s">
        <v>37</v>
      </c>
      <c r="G446" s="19" t="s">
        <v>920</v>
      </c>
      <c r="H446" s="19" t="s">
        <v>2269</v>
      </c>
      <c r="I446" s="19" t="s">
        <v>2270</v>
      </c>
      <c r="J446" s="18" t="s">
        <v>51</v>
      </c>
    </row>
    <row r="447" spans="1:10" ht="48.75" customHeight="1">
      <c r="A447" s="21" t="s">
        <v>2271</v>
      </c>
      <c r="B447" s="21" t="s">
        <v>290</v>
      </c>
      <c r="C447" s="22" t="s">
        <v>25</v>
      </c>
      <c r="D447" s="22" t="s">
        <v>2272</v>
      </c>
      <c r="E447" s="18" t="s">
        <v>46</v>
      </c>
      <c r="F447" s="21" t="s">
        <v>37</v>
      </c>
      <c r="G447" s="22" t="s">
        <v>823</v>
      </c>
      <c r="H447" s="22" t="s">
        <v>2273</v>
      </c>
      <c r="I447" s="22" t="s">
        <v>958</v>
      </c>
      <c r="J447" s="18" t="s">
        <v>51</v>
      </c>
    </row>
    <row r="448" spans="1:10" ht="48.75" customHeight="1">
      <c r="A448" s="18" t="s">
        <v>2274</v>
      </c>
      <c r="B448" s="18" t="s">
        <v>290</v>
      </c>
      <c r="C448" s="19" t="s">
        <v>25</v>
      </c>
      <c r="D448" s="19" t="s">
        <v>2275</v>
      </c>
      <c r="E448" s="18" t="s">
        <v>46</v>
      </c>
      <c r="F448" s="18" t="s">
        <v>37</v>
      </c>
      <c r="G448" s="19" t="s">
        <v>961</v>
      </c>
      <c r="H448" s="19" t="s">
        <v>2276</v>
      </c>
      <c r="I448" s="19" t="s">
        <v>958</v>
      </c>
      <c r="J448" s="18" t="s">
        <v>51</v>
      </c>
    </row>
    <row r="449" spans="1:10" ht="48.75" customHeight="1">
      <c r="A449" s="21" t="s">
        <v>2277</v>
      </c>
      <c r="B449" s="21" t="s">
        <v>290</v>
      </c>
      <c r="C449" s="22" t="s">
        <v>25</v>
      </c>
      <c r="D449" s="22" t="s">
        <v>2278</v>
      </c>
      <c r="E449" s="18" t="s">
        <v>46</v>
      </c>
      <c r="F449" s="21" t="s">
        <v>37</v>
      </c>
      <c r="G449" s="22" t="s">
        <v>828</v>
      </c>
      <c r="H449" s="22" t="s">
        <v>2279</v>
      </c>
      <c r="I449" s="22" t="s">
        <v>958</v>
      </c>
      <c r="J449" s="18" t="s">
        <v>51</v>
      </c>
    </row>
    <row r="450" spans="1:10" ht="93.75" customHeight="1">
      <c r="A450" s="18" t="s">
        <v>2280</v>
      </c>
      <c r="B450" s="18" t="s">
        <v>290</v>
      </c>
      <c r="C450" s="19" t="s">
        <v>25</v>
      </c>
      <c r="D450" s="19" t="s">
        <v>2281</v>
      </c>
      <c r="E450" s="18" t="s">
        <v>44</v>
      </c>
      <c r="F450" s="18" t="s">
        <v>37</v>
      </c>
      <c r="G450" s="19" t="s">
        <v>920</v>
      </c>
      <c r="H450" s="19" t="s">
        <v>1122</v>
      </c>
      <c r="I450" s="19" t="s">
        <v>833</v>
      </c>
      <c r="J450" s="18" t="s">
        <v>51</v>
      </c>
    </row>
    <row r="451" spans="1:10" ht="78.75" customHeight="1">
      <c r="A451" s="21" t="s">
        <v>2282</v>
      </c>
      <c r="B451" s="21" t="s">
        <v>294</v>
      </c>
      <c r="C451" s="22" t="s">
        <v>25</v>
      </c>
      <c r="D451" s="22" t="s">
        <v>2283</v>
      </c>
      <c r="E451" s="18" t="s">
        <v>42</v>
      </c>
      <c r="F451" s="21" t="s">
        <v>33</v>
      </c>
      <c r="G451" s="22" t="s">
        <v>1448</v>
      </c>
      <c r="H451" s="22" t="s">
        <v>2284</v>
      </c>
      <c r="I451" s="22" t="s">
        <v>2285</v>
      </c>
      <c r="J451" s="18" t="s">
        <v>51</v>
      </c>
    </row>
    <row r="452" spans="1:10" ht="78.75" customHeight="1">
      <c r="A452" s="18" t="s">
        <v>2286</v>
      </c>
      <c r="B452" s="18" t="s">
        <v>294</v>
      </c>
      <c r="C452" s="19" t="s">
        <v>25</v>
      </c>
      <c r="D452" s="19" t="s">
        <v>2287</v>
      </c>
      <c r="E452" s="18" t="s">
        <v>42</v>
      </c>
      <c r="F452" s="18" t="s">
        <v>33</v>
      </c>
      <c r="G452" s="19" t="s">
        <v>1448</v>
      </c>
      <c r="H452" s="19" t="s">
        <v>2288</v>
      </c>
      <c r="I452" s="19" t="s">
        <v>2289</v>
      </c>
      <c r="J452" s="18" t="s">
        <v>51</v>
      </c>
    </row>
    <row r="453" spans="1:10" ht="78.75" customHeight="1">
      <c r="A453" s="21" t="s">
        <v>2290</v>
      </c>
      <c r="B453" s="21" t="s">
        <v>294</v>
      </c>
      <c r="C453" s="22" t="s">
        <v>25</v>
      </c>
      <c r="D453" s="22" t="s">
        <v>2291</v>
      </c>
      <c r="E453" s="18" t="s">
        <v>42</v>
      </c>
      <c r="F453" s="21" t="s">
        <v>33</v>
      </c>
      <c r="G453" s="22" t="s">
        <v>1448</v>
      </c>
      <c r="H453" s="22" t="s">
        <v>2292</v>
      </c>
      <c r="I453" s="22" t="s">
        <v>2293</v>
      </c>
      <c r="J453" s="18" t="s">
        <v>51</v>
      </c>
    </row>
    <row r="454" spans="1:10" ht="78.75" customHeight="1">
      <c r="A454" s="18" t="s">
        <v>2294</v>
      </c>
      <c r="B454" s="18" t="s">
        <v>294</v>
      </c>
      <c r="C454" s="19" t="s">
        <v>25</v>
      </c>
      <c r="D454" s="19" t="s">
        <v>2295</v>
      </c>
      <c r="E454" s="18" t="s">
        <v>42</v>
      </c>
      <c r="F454" s="18" t="s">
        <v>33</v>
      </c>
      <c r="G454" s="19" t="s">
        <v>1448</v>
      </c>
      <c r="H454" s="19" t="s">
        <v>2296</v>
      </c>
      <c r="I454" s="19" t="s">
        <v>2297</v>
      </c>
      <c r="J454" s="18" t="s">
        <v>51</v>
      </c>
    </row>
    <row r="455" spans="1:10" ht="78.75" customHeight="1">
      <c r="A455" s="21" t="s">
        <v>2298</v>
      </c>
      <c r="B455" s="21" t="s">
        <v>294</v>
      </c>
      <c r="C455" s="22" t="s">
        <v>25</v>
      </c>
      <c r="D455" s="22" t="s">
        <v>2299</v>
      </c>
      <c r="E455" s="18" t="s">
        <v>42</v>
      </c>
      <c r="F455" s="21" t="s">
        <v>33</v>
      </c>
      <c r="G455" s="22" t="s">
        <v>1448</v>
      </c>
      <c r="H455" s="22" t="s">
        <v>2300</v>
      </c>
      <c r="I455" s="22" t="s">
        <v>808</v>
      </c>
      <c r="J455" s="18" t="s">
        <v>51</v>
      </c>
    </row>
    <row r="456" spans="1:10" ht="48.75" customHeight="1">
      <c r="A456" s="18" t="s">
        <v>2301</v>
      </c>
      <c r="B456" s="18" t="s">
        <v>294</v>
      </c>
      <c r="C456" s="19" t="s">
        <v>25</v>
      </c>
      <c r="D456" s="19" t="s">
        <v>2302</v>
      </c>
      <c r="E456" s="18" t="s">
        <v>46</v>
      </c>
      <c r="F456" s="18" t="s">
        <v>33</v>
      </c>
      <c r="G456" s="19" t="s">
        <v>1448</v>
      </c>
      <c r="H456" s="19" t="s">
        <v>2303</v>
      </c>
      <c r="I456" s="19" t="s">
        <v>812</v>
      </c>
      <c r="J456" s="18" t="s">
        <v>51</v>
      </c>
    </row>
    <row r="457" spans="1:10" ht="78.75" customHeight="1">
      <c r="A457" s="21" t="s">
        <v>2304</v>
      </c>
      <c r="B457" s="21" t="s">
        <v>294</v>
      </c>
      <c r="C457" s="22" t="s">
        <v>25</v>
      </c>
      <c r="D457" s="22" t="s">
        <v>2305</v>
      </c>
      <c r="E457" s="18" t="s">
        <v>44</v>
      </c>
      <c r="F457" s="21" t="s">
        <v>33</v>
      </c>
      <c r="G457" s="22" t="s">
        <v>1448</v>
      </c>
      <c r="H457" s="22" t="s">
        <v>2306</v>
      </c>
      <c r="I457" s="22" t="s">
        <v>816</v>
      </c>
      <c r="J457" s="18" t="s">
        <v>51</v>
      </c>
    </row>
    <row r="458" spans="1:10" ht="78.75" customHeight="1">
      <c r="A458" s="18" t="s">
        <v>2307</v>
      </c>
      <c r="B458" s="18" t="s">
        <v>294</v>
      </c>
      <c r="C458" s="19" t="s">
        <v>25</v>
      </c>
      <c r="D458" s="19" t="s">
        <v>2308</v>
      </c>
      <c r="E458" s="18" t="s">
        <v>44</v>
      </c>
      <c r="F458" s="18" t="s">
        <v>33</v>
      </c>
      <c r="G458" s="19" t="s">
        <v>1448</v>
      </c>
      <c r="H458" s="19" t="s">
        <v>2309</v>
      </c>
      <c r="I458" s="19" t="s">
        <v>820</v>
      </c>
      <c r="J458" s="18" t="s">
        <v>51</v>
      </c>
    </row>
    <row r="459" spans="1:10" ht="48.75" customHeight="1">
      <c r="A459" s="21" t="s">
        <v>2310</v>
      </c>
      <c r="B459" s="21" t="s">
        <v>294</v>
      </c>
      <c r="C459" s="22" t="s">
        <v>25</v>
      </c>
      <c r="D459" s="22" t="s">
        <v>2311</v>
      </c>
      <c r="E459" s="18" t="s">
        <v>46</v>
      </c>
      <c r="F459" s="21" t="s">
        <v>33</v>
      </c>
      <c r="G459" s="22" t="s">
        <v>823</v>
      </c>
      <c r="H459" s="22" t="s">
        <v>2312</v>
      </c>
      <c r="I459" s="22" t="s">
        <v>1482</v>
      </c>
      <c r="J459" s="18" t="s">
        <v>51</v>
      </c>
    </row>
    <row r="460" spans="1:10" ht="48.75" customHeight="1">
      <c r="A460" s="18" t="s">
        <v>2313</v>
      </c>
      <c r="B460" s="18" t="s">
        <v>294</v>
      </c>
      <c r="C460" s="19" t="s">
        <v>25</v>
      </c>
      <c r="D460" s="19" t="s">
        <v>2314</v>
      </c>
      <c r="E460" s="18" t="s">
        <v>46</v>
      </c>
      <c r="F460" s="18" t="s">
        <v>33</v>
      </c>
      <c r="G460" s="19" t="s">
        <v>961</v>
      </c>
      <c r="H460" s="19" t="s">
        <v>2315</v>
      </c>
      <c r="I460" s="19" t="s">
        <v>1482</v>
      </c>
      <c r="J460" s="18" t="s">
        <v>51</v>
      </c>
    </row>
    <row r="461" spans="1:10" ht="78.75" customHeight="1">
      <c r="A461" s="21" t="s">
        <v>2316</v>
      </c>
      <c r="B461" s="21" t="s">
        <v>299</v>
      </c>
      <c r="C461" s="22" t="s">
        <v>25</v>
      </c>
      <c r="D461" s="22" t="s">
        <v>2317</v>
      </c>
      <c r="E461" s="18" t="s">
        <v>42</v>
      </c>
      <c r="F461" s="21" t="s">
        <v>33</v>
      </c>
      <c r="G461" s="22" t="s">
        <v>920</v>
      </c>
      <c r="H461" s="22" t="s">
        <v>2318</v>
      </c>
      <c r="I461" s="22" t="s">
        <v>2319</v>
      </c>
      <c r="J461" s="18" t="s">
        <v>51</v>
      </c>
    </row>
    <row r="462" spans="1:10" ht="78.75" customHeight="1">
      <c r="A462" s="18" t="s">
        <v>2320</v>
      </c>
      <c r="B462" s="18" t="s">
        <v>299</v>
      </c>
      <c r="C462" s="19" t="s">
        <v>25</v>
      </c>
      <c r="D462" s="19" t="s">
        <v>2321</v>
      </c>
      <c r="E462" s="18" t="s">
        <v>42</v>
      </c>
      <c r="F462" s="18" t="s">
        <v>33</v>
      </c>
      <c r="G462" s="19" t="s">
        <v>920</v>
      </c>
      <c r="H462" s="19" t="s">
        <v>2322</v>
      </c>
      <c r="I462" s="19" t="s">
        <v>2323</v>
      </c>
      <c r="J462" s="18" t="s">
        <v>51</v>
      </c>
    </row>
    <row r="463" spans="1:10" ht="78.75" customHeight="1">
      <c r="A463" s="21" t="s">
        <v>2324</v>
      </c>
      <c r="B463" s="21" t="s">
        <v>299</v>
      </c>
      <c r="C463" s="22" t="s">
        <v>25</v>
      </c>
      <c r="D463" s="22" t="s">
        <v>2325</v>
      </c>
      <c r="E463" s="18" t="s">
        <v>42</v>
      </c>
      <c r="F463" s="21" t="s">
        <v>33</v>
      </c>
      <c r="G463" s="22" t="s">
        <v>920</v>
      </c>
      <c r="H463" s="22" t="s">
        <v>2326</v>
      </c>
      <c r="I463" s="22" t="s">
        <v>2327</v>
      </c>
      <c r="J463" s="18" t="s">
        <v>51</v>
      </c>
    </row>
    <row r="464" spans="1:10" ht="48.75" customHeight="1">
      <c r="A464" s="18" t="s">
        <v>2328</v>
      </c>
      <c r="B464" s="18" t="s">
        <v>299</v>
      </c>
      <c r="C464" s="19" t="s">
        <v>25</v>
      </c>
      <c r="D464" s="19" t="s">
        <v>2329</v>
      </c>
      <c r="E464" s="18" t="s">
        <v>46</v>
      </c>
      <c r="F464" s="18" t="s">
        <v>33</v>
      </c>
      <c r="G464" s="19" t="s">
        <v>823</v>
      </c>
      <c r="H464" s="19" t="s">
        <v>2330</v>
      </c>
      <c r="I464" s="19" t="s">
        <v>958</v>
      </c>
      <c r="J464" s="18" t="s">
        <v>51</v>
      </c>
    </row>
    <row r="465" spans="1:10" ht="48.75" customHeight="1">
      <c r="A465" s="21" t="s">
        <v>2331</v>
      </c>
      <c r="B465" s="21" t="s">
        <v>299</v>
      </c>
      <c r="C465" s="22" t="s">
        <v>25</v>
      </c>
      <c r="D465" s="22" t="s">
        <v>2332</v>
      </c>
      <c r="E465" s="18" t="s">
        <v>46</v>
      </c>
      <c r="F465" s="21" t="s">
        <v>33</v>
      </c>
      <c r="G465" s="22" t="s">
        <v>961</v>
      </c>
      <c r="H465" s="22" t="s">
        <v>2333</v>
      </c>
      <c r="I465" s="22" t="s">
        <v>958</v>
      </c>
      <c r="J465" s="18" t="s">
        <v>51</v>
      </c>
    </row>
    <row r="466" spans="1:10" ht="48.75" customHeight="1">
      <c r="A466" s="18" t="s">
        <v>2334</v>
      </c>
      <c r="B466" s="18" t="s">
        <v>299</v>
      </c>
      <c r="C466" s="19" t="s">
        <v>25</v>
      </c>
      <c r="D466" s="19" t="s">
        <v>2335</v>
      </c>
      <c r="E466" s="18" t="s">
        <v>46</v>
      </c>
      <c r="F466" s="18" t="s">
        <v>33</v>
      </c>
      <c r="G466" s="19" t="s">
        <v>828</v>
      </c>
      <c r="H466" s="19" t="s">
        <v>2336</v>
      </c>
      <c r="I466" s="19" t="s">
        <v>958</v>
      </c>
      <c r="J466" s="18" t="s">
        <v>51</v>
      </c>
    </row>
    <row r="467" spans="1:10" ht="78.75" customHeight="1">
      <c r="A467" s="21" t="s">
        <v>2337</v>
      </c>
      <c r="B467" s="21" t="s">
        <v>303</v>
      </c>
      <c r="C467" s="22" t="s">
        <v>25</v>
      </c>
      <c r="D467" s="22" t="s">
        <v>2338</v>
      </c>
      <c r="E467" s="18" t="s">
        <v>42</v>
      </c>
      <c r="F467" s="21" t="s">
        <v>37</v>
      </c>
      <c r="G467" s="22" t="s">
        <v>920</v>
      </c>
      <c r="H467" s="22" t="s">
        <v>2339</v>
      </c>
      <c r="I467" s="22" t="s">
        <v>2340</v>
      </c>
      <c r="J467" s="18" t="s">
        <v>51</v>
      </c>
    </row>
    <row r="468" spans="1:10" ht="78.75" customHeight="1">
      <c r="A468" s="18" t="s">
        <v>2341</v>
      </c>
      <c r="B468" s="18" t="s">
        <v>303</v>
      </c>
      <c r="C468" s="19" t="s">
        <v>25</v>
      </c>
      <c r="D468" s="19" t="s">
        <v>2342</v>
      </c>
      <c r="E468" s="18" t="s">
        <v>42</v>
      </c>
      <c r="F468" s="18" t="s">
        <v>37</v>
      </c>
      <c r="G468" s="19" t="s">
        <v>920</v>
      </c>
      <c r="H468" s="19" t="s">
        <v>2343</v>
      </c>
      <c r="I468" s="19" t="s">
        <v>2344</v>
      </c>
      <c r="J468" s="18" t="s">
        <v>51</v>
      </c>
    </row>
    <row r="469" spans="1:10" ht="78.75" customHeight="1">
      <c r="A469" s="21" t="s">
        <v>2345</v>
      </c>
      <c r="B469" s="21" t="s">
        <v>303</v>
      </c>
      <c r="C469" s="22" t="s">
        <v>25</v>
      </c>
      <c r="D469" s="22" t="s">
        <v>2346</v>
      </c>
      <c r="E469" s="18" t="s">
        <v>42</v>
      </c>
      <c r="F469" s="21" t="s">
        <v>37</v>
      </c>
      <c r="G469" s="22" t="s">
        <v>920</v>
      </c>
      <c r="H469" s="22" t="s">
        <v>2347</v>
      </c>
      <c r="I469" s="22" t="s">
        <v>2348</v>
      </c>
      <c r="J469" s="18" t="s">
        <v>51</v>
      </c>
    </row>
    <row r="470" spans="1:10" ht="48.75" customHeight="1">
      <c r="A470" s="18" t="s">
        <v>2349</v>
      </c>
      <c r="B470" s="18" t="s">
        <v>303</v>
      </c>
      <c r="C470" s="19" t="s">
        <v>25</v>
      </c>
      <c r="D470" s="19" t="s">
        <v>2350</v>
      </c>
      <c r="E470" s="18" t="s">
        <v>46</v>
      </c>
      <c r="F470" s="18" t="s">
        <v>37</v>
      </c>
      <c r="G470" s="19" t="s">
        <v>823</v>
      </c>
      <c r="H470" s="19" t="s">
        <v>2351</v>
      </c>
      <c r="I470" s="19" t="s">
        <v>958</v>
      </c>
      <c r="J470" s="18" t="s">
        <v>51</v>
      </c>
    </row>
    <row r="471" spans="1:10" ht="48.75" customHeight="1">
      <c r="A471" s="21" t="s">
        <v>2352</v>
      </c>
      <c r="B471" s="21" t="s">
        <v>303</v>
      </c>
      <c r="C471" s="22" t="s">
        <v>25</v>
      </c>
      <c r="D471" s="22" t="s">
        <v>2353</v>
      </c>
      <c r="E471" s="18" t="s">
        <v>46</v>
      </c>
      <c r="F471" s="21" t="s">
        <v>37</v>
      </c>
      <c r="G471" s="22" t="s">
        <v>961</v>
      </c>
      <c r="H471" s="22" t="s">
        <v>2354</v>
      </c>
      <c r="I471" s="22" t="s">
        <v>958</v>
      </c>
      <c r="J471" s="18" t="s">
        <v>51</v>
      </c>
    </row>
    <row r="472" spans="1:10" ht="48.75" customHeight="1">
      <c r="A472" s="18" t="s">
        <v>2355</v>
      </c>
      <c r="B472" s="18" t="s">
        <v>303</v>
      </c>
      <c r="C472" s="19" t="s">
        <v>25</v>
      </c>
      <c r="D472" s="19" t="s">
        <v>2356</v>
      </c>
      <c r="E472" s="18" t="s">
        <v>46</v>
      </c>
      <c r="F472" s="18" t="s">
        <v>37</v>
      </c>
      <c r="G472" s="19" t="s">
        <v>828</v>
      </c>
      <c r="H472" s="19" t="s">
        <v>2357</v>
      </c>
      <c r="I472" s="19" t="s">
        <v>958</v>
      </c>
      <c r="J472" s="18" t="s">
        <v>51</v>
      </c>
    </row>
    <row r="473" spans="1:10" ht="78.75" customHeight="1">
      <c r="A473" s="21" t="s">
        <v>2358</v>
      </c>
      <c r="B473" s="21" t="s">
        <v>307</v>
      </c>
      <c r="C473" s="22" t="s">
        <v>25</v>
      </c>
      <c r="D473" s="22" t="s">
        <v>2359</v>
      </c>
      <c r="E473" s="18" t="s">
        <v>42</v>
      </c>
      <c r="F473" s="21" t="s">
        <v>37</v>
      </c>
      <c r="G473" s="22" t="s">
        <v>920</v>
      </c>
      <c r="H473" s="22" t="s">
        <v>2360</v>
      </c>
      <c r="I473" s="22" t="s">
        <v>2361</v>
      </c>
      <c r="J473" s="18" t="s">
        <v>51</v>
      </c>
    </row>
    <row r="474" spans="1:10" ht="78.75" customHeight="1">
      <c r="A474" s="18" t="s">
        <v>2362</v>
      </c>
      <c r="B474" s="18" t="s">
        <v>307</v>
      </c>
      <c r="C474" s="19" t="s">
        <v>25</v>
      </c>
      <c r="D474" s="19" t="s">
        <v>2363</v>
      </c>
      <c r="E474" s="18" t="s">
        <v>42</v>
      </c>
      <c r="F474" s="18" t="s">
        <v>37</v>
      </c>
      <c r="G474" s="19" t="s">
        <v>920</v>
      </c>
      <c r="H474" s="19" t="s">
        <v>2364</v>
      </c>
      <c r="I474" s="19" t="s">
        <v>2365</v>
      </c>
      <c r="J474" s="18" t="s">
        <v>51</v>
      </c>
    </row>
    <row r="475" spans="1:10" ht="78.75" customHeight="1">
      <c r="A475" s="21" t="s">
        <v>2366</v>
      </c>
      <c r="B475" s="21" t="s">
        <v>307</v>
      </c>
      <c r="C475" s="22" t="s">
        <v>25</v>
      </c>
      <c r="D475" s="22" t="s">
        <v>2367</v>
      </c>
      <c r="E475" s="18" t="s">
        <v>42</v>
      </c>
      <c r="F475" s="21" t="s">
        <v>37</v>
      </c>
      <c r="G475" s="22" t="s">
        <v>920</v>
      </c>
      <c r="H475" s="22" t="s">
        <v>2368</v>
      </c>
      <c r="I475" s="22" t="s">
        <v>2369</v>
      </c>
      <c r="J475" s="18" t="s">
        <v>51</v>
      </c>
    </row>
    <row r="476" spans="1:10" ht="48.75" customHeight="1">
      <c r="A476" s="18" t="s">
        <v>2370</v>
      </c>
      <c r="B476" s="18" t="s">
        <v>307</v>
      </c>
      <c r="C476" s="19" t="s">
        <v>25</v>
      </c>
      <c r="D476" s="19" t="s">
        <v>2371</v>
      </c>
      <c r="E476" s="18" t="s">
        <v>46</v>
      </c>
      <c r="F476" s="18" t="s">
        <v>37</v>
      </c>
      <c r="G476" s="19" t="s">
        <v>823</v>
      </c>
      <c r="H476" s="19" t="s">
        <v>2372</v>
      </c>
      <c r="I476" s="19" t="s">
        <v>958</v>
      </c>
      <c r="J476" s="18" t="s">
        <v>51</v>
      </c>
    </row>
    <row r="477" spans="1:10" ht="48.75" customHeight="1">
      <c r="A477" s="21" t="s">
        <v>2373</v>
      </c>
      <c r="B477" s="21" t="s">
        <v>307</v>
      </c>
      <c r="C477" s="22" t="s">
        <v>25</v>
      </c>
      <c r="D477" s="22" t="s">
        <v>2374</v>
      </c>
      <c r="E477" s="18" t="s">
        <v>46</v>
      </c>
      <c r="F477" s="21" t="s">
        <v>37</v>
      </c>
      <c r="G477" s="22" t="s">
        <v>961</v>
      </c>
      <c r="H477" s="22" t="s">
        <v>2375</v>
      </c>
      <c r="I477" s="22" t="s">
        <v>958</v>
      </c>
      <c r="J477" s="18" t="s">
        <v>51</v>
      </c>
    </row>
    <row r="478" spans="1:10" ht="48.75" customHeight="1">
      <c r="A478" s="18" t="s">
        <v>2376</v>
      </c>
      <c r="B478" s="18" t="s">
        <v>307</v>
      </c>
      <c r="C478" s="19" t="s">
        <v>25</v>
      </c>
      <c r="D478" s="19" t="s">
        <v>2377</v>
      </c>
      <c r="E478" s="18" t="s">
        <v>46</v>
      </c>
      <c r="F478" s="18" t="s">
        <v>37</v>
      </c>
      <c r="G478" s="19" t="s">
        <v>828</v>
      </c>
      <c r="H478" s="19" t="s">
        <v>2378</v>
      </c>
      <c r="I478" s="19" t="s">
        <v>958</v>
      </c>
      <c r="J478" s="18" t="s">
        <v>51</v>
      </c>
    </row>
    <row r="479" spans="1:10" ht="78.75" customHeight="1">
      <c r="A479" s="21" t="s">
        <v>2379</v>
      </c>
      <c r="B479" s="21" t="s">
        <v>311</v>
      </c>
      <c r="C479" s="22" t="s">
        <v>25</v>
      </c>
      <c r="D479" s="22" t="s">
        <v>2380</v>
      </c>
      <c r="E479" s="18" t="s">
        <v>42</v>
      </c>
      <c r="F479" s="21" t="s">
        <v>35</v>
      </c>
      <c r="G479" s="22" t="s">
        <v>920</v>
      </c>
      <c r="H479" s="22" t="s">
        <v>2381</v>
      </c>
      <c r="I479" s="22" t="s">
        <v>2382</v>
      </c>
      <c r="J479" s="18" t="s">
        <v>51</v>
      </c>
    </row>
    <row r="480" spans="1:10" ht="78.75" customHeight="1">
      <c r="A480" s="18" t="s">
        <v>2383</v>
      </c>
      <c r="B480" s="18" t="s">
        <v>311</v>
      </c>
      <c r="C480" s="19" t="s">
        <v>25</v>
      </c>
      <c r="D480" s="19" t="s">
        <v>2384</v>
      </c>
      <c r="E480" s="18" t="s">
        <v>42</v>
      </c>
      <c r="F480" s="18" t="s">
        <v>35</v>
      </c>
      <c r="G480" s="19" t="s">
        <v>920</v>
      </c>
      <c r="H480" s="19" t="s">
        <v>2385</v>
      </c>
      <c r="I480" s="19" t="s">
        <v>2386</v>
      </c>
      <c r="J480" s="18" t="s">
        <v>51</v>
      </c>
    </row>
    <row r="481" spans="1:10" ht="78.75" customHeight="1">
      <c r="A481" s="21" t="s">
        <v>2387</v>
      </c>
      <c r="B481" s="21" t="s">
        <v>311</v>
      </c>
      <c r="C481" s="22" t="s">
        <v>25</v>
      </c>
      <c r="D481" s="22" t="s">
        <v>2388</v>
      </c>
      <c r="E481" s="18" t="s">
        <v>42</v>
      </c>
      <c r="F481" s="21" t="s">
        <v>35</v>
      </c>
      <c r="G481" s="22" t="s">
        <v>920</v>
      </c>
      <c r="H481" s="22" t="s">
        <v>2389</v>
      </c>
      <c r="I481" s="22" t="s">
        <v>2390</v>
      </c>
      <c r="J481" s="18" t="s">
        <v>51</v>
      </c>
    </row>
    <row r="482" spans="1:10" ht="48.75" customHeight="1">
      <c r="A482" s="18" t="s">
        <v>2391</v>
      </c>
      <c r="B482" s="18" t="s">
        <v>311</v>
      </c>
      <c r="C482" s="19" t="s">
        <v>25</v>
      </c>
      <c r="D482" s="19" t="s">
        <v>2392</v>
      </c>
      <c r="E482" s="18" t="s">
        <v>46</v>
      </c>
      <c r="F482" s="18" t="s">
        <v>35</v>
      </c>
      <c r="G482" s="19" t="s">
        <v>823</v>
      </c>
      <c r="H482" s="19" t="s">
        <v>2393</v>
      </c>
      <c r="I482" s="19" t="s">
        <v>958</v>
      </c>
      <c r="J482" s="18" t="s">
        <v>51</v>
      </c>
    </row>
    <row r="483" spans="1:10" ht="48.75" customHeight="1">
      <c r="A483" s="21" t="s">
        <v>2394</v>
      </c>
      <c r="B483" s="21" t="s">
        <v>311</v>
      </c>
      <c r="C483" s="22" t="s">
        <v>25</v>
      </c>
      <c r="D483" s="22" t="s">
        <v>2395</v>
      </c>
      <c r="E483" s="18" t="s">
        <v>46</v>
      </c>
      <c r="F483" s="21" t="s">
        <v>35</v>
      </c>
      <c r="G483" s="22" t="s">
        <v>961</v>
      </c>
      <c r="H483" s="22" t="s">
        <v>2396</v>
      </c>
      <c r="I483" s="22" t="s">
        <v>958</v>
      </c>
      <c r="J483" s="18" t="s">
        <v>51</v>
      </c>
    </row>
    <row r="484" spans="1:10" ht="48.75" customHeight="1">
      <c r="A484" s="18" t="s">
        <v>2397</v>
      </c>
      <c r="B484" s="18" t="s">
        <v>311</v>
      </c>
      <c r="C484" s="19" t="s">
        <v>25</v>
      </c>
      <c r="D484" s="19" t="s">
        <v>2398</v>
      </c>
      <c r="E484" s="18" t="s">
        <v>46</v>
      </c>
      <c r="F484" s="18" t="s">
        <v>35</v>
      </c>
      <c r="G484" s="19" t="s">
        <v>828</v>
      </c>
      <c r="H484" s="19" t="s">
        <v>2399</v>
      </c>
      <c r="I484" s="19" t="s">
        <v>958</v>
      </c>
      <c r="J484" s="18" t="s">
        <v>51</v>
      </c>
    </row>
    <row r="485" spans="1:10" ht="78.75" customHeight="1">
      <c r="A485" s="21" t="s">
        <v>2400</v>
      </c>
      <c r="B485" s="21" t="s">
        <v>315</v>
      </c>
      <c r="C485" s="22" t="s">
        <v>25</v>
      </c>
      <c r="D485" s="22" t="s">
        <v>2401</v>
      </c>
      <c r="E485" s="18" t="s">
        <v>42</v>
      </c>
      <c r="F485" s="21" t="s">
        <v>33</v>
      </c>
      <c r="G485" s="22" t="s">
        <v>2186</v>
      </c>
      <c r="H485" s="22" t="s">
        <v>2402</v>
      </c>
      <c r="I485" s="22" t="s">
        <v>2403</v>
      </c>
      <c r="J485" s="18" t="s">
        <v>51</v>
      </c>
    </row>
    <row r="486" spans="1:10" ht="78.75" customHeight="1">
      <c r="A486" s="18" t="s">
        <v>2404</v>
      </c>
      <c r="B486" s="18" t="s">
        <v>315</v>
      </c>
      <c r="C486" s="19" t="s">
        <v>25</v>
      </c>
      <c r="D486" s="19" t="s">
        <v>2405</v>
      </c>
      <c r="E486" s="18" t="s">
        <v>42</v>
      </c>
      <c r="F486" s="18" t="s">
        <v>33</v>
      </c>
      <c r="G486" s="19" t="s">
        <v>2186</v>
      </c>
      <c r="H486" s="19" t="s">
        <v>2406</v>
      </c>
      <c r="I486" s="19" t="s">
        <v>2407</v>
      </c>
      <c r="J486" s="18" t="s">
        <v>51</v>
      </c>
    </row>
    <row r="487" spans="1:10" ht="78.75" customHeight="1">
      <c r="A487" s="21" t="s">
        <v>2408</v>
      </c>
      <c r="B487" s="21" t="s">
        <v>315</v>
      </c>
      <c r="C487" s="22" t="s">
        <v>25</v>
      </c>
      <c r="D487" s="22" t="s">
        <v>2409</v>
      </c>
      <c r="E487" s="18" t="s">
        <v>42</v>
      </c>
      <c r="F487" s="21" t="s">
        <v>33</v>
      </c>
      <c r="G487" s="22" t="s">
        <v>2186</v>
      </c>
      <c r="H487" s="22" t="s">
        <v>2410</v>
      </c>
      <c r="I487" s="22" t="s">
        <v>2411</v>
      </c>
      <c r="J487" s="18" t="s">
        <v>51</v>
      </c>
    </row>
    <row r="488" spans="1:10" ht="78.75" customHeight="1">
      <c r="A488" s="18" t="s">
        <v>2412</v>
      </c>
      <c r="B488" s="18" t="s">
        <v>315</v>
      </c>
      <c r="C488" s="19" t="s">
        <v>25</v>
      </c>
      <c r="D488" s="19" t="s">
        <v>2413</v>
      </c>
      <c r="E488" s="18" t="s">
        <v>42</v>
      </c>
      <c r="F488" s="18" t="s">
        <v>33</v>
      </c>
      <c r="G488" s="19" t="s">
        <v>2186</v>
      </c>
      <c r="H488" s="19" t="s">
        <v>2414</v>
      </c>
      <c r="I488" s="19" t="s">
        <v>2415</v>
      </c>
      <c r="J488" s="18" t="s">
        <v>51</v>
      </c>
    </row>
    <row r="489" spans="1:10" ht="78.75" customHeight="1">
      <c r="A489" s="21" t="s">
        <v>2416</v>
      </c>
      <c r="B489" s="21" t="s">
        <v>315</v>
      </c>
      <c r="C489" s="22" t="s">
        <v>25</v>
      </c>
      <c r="D489" s="22" t="s">
        <v>2417</v>
      </c>
      <c r="E489" s="18" t="s">
        <v>42</v>
      </c>
      <c r="F489" s="21" t="s">
        <v>33</v>
      </c>
      <c r="G489" s="22" t="s">
        <v>2186</v>
      </c>
      <c r="H489" s="22" t="s">
        <v>2418</v>
      </c>
      <c r="I489" s="22" t="s">
        <v>2419</v>
      </c>
      <c r="J489" s="18" t="s">
        <v>51</v>
      </c>
    </row>
    <row r="490" spans="1:10" ht="78.75" customHeight="1">
      <c r="A490" s="18" t="s">
        <v>2420</v>
      </c>
      <c r="B490" s="18" t="s">
        <v>315</v>
      </c>
      <c r="C490" s="19" t="s">
        <v>25</v>
      </c>
      <c r="D490" s="19" t="s">
        <v>2421</v>
      </c>
      <c r="E490" s="18" t="s">
        <v>44</v>
      </c>
      <c r="F490" s="18" t="s">
        <v>33</v>
      </c>
      <c r="G490" s="19" t="s">
        <v>2186</v>
      </c>
      <c r="H490" s="19" t="s">
        <v>2422</v>
      </c>
      <c r="I490" s="19" t="s">
        <v>2423</v>
      </c>
      <c r="J490" s="18" t="s">
        <v>51</v>
      </c>
    </row>
    <row r="491" spans="1:10" ht="78.75" customHeight="1">
      <c r="A491" s="21" t="s">
        <v>2424</v>
      </c>
      <c r="B491" s="21" t="s">
        <v>315</v>
      </c>
      <c r="C491" s="22" t="s">
        <v>25</v>
      </c>
      <c r="D491" s="22" t="s">
        <v>2425</v>
      </c>
      <c r="E491" s="18" t="s">
        <v>44</v>
      </c>
      <c r="F491" s="21" t="s">
        <v>33</v>
      </c>
      <c r="G491" s="22" t="s">
        <v>2186</v>
      </c>
      <c r="H491" s="22" t="s">
        <v>2426</v>
      </c>
      <c r="I491" s="22" t="s">
        <v>2427</v>
      </c>
      <c r="J491" s="18" t="s">
        <v>51</v>
      </c>
    </row>
    <row r="492" spans="1:10" ht="78.75" customHeight="1">
      <c r="A492" s="18" t="s">
        <v>2428</v>
      </c>
      <c r="B492" s="18" t="s">
        <v>315</v>
      </c>
      <c r="C492" s="19" t="s">
        <v>25</v>
      </c>
      <c r="D492" s="19" t="s">
        <v>2429</v>
      </c>
      <c r="E492" s="18" t="s">
        <v>44</v>
      </c>
      <c r="F492" s="18" t="s">
        <v>33</v>
      </c>
      <c r="G492" s="19" t="s">
        <v>2186</v>
      </c>
      <c r="H492" s="19" t="s">
        <v>2430</v>
      </c>
      <c r="I492" s="19" t="s">
        <v>2431</v>
      </c>
      <c r="J492" s="18" t="s">
        <v>51</v>
      </c>
    </row>
    <row r="493" spans="1:10" ht="78.75" customHeight="1">
      <c r="A493" s="21" t="s">
        <v>2432</v>
      </c>
      <c r="B493" s="21" t="s">
        <v>315</v>
      </c>
      <c r="C493" s="22" t="s">
        <v>25</v>
      </c>
      <c r="D493" s="22" t="s">
        <v>2433</v>
      </c>
      <c r="E493" s="18" t="s">
        <v>42</v>
      </c>
      <c r="F493" s="21" t="s">
        <v>33</v>
      </c>
      <c r="G493" s="22" t="s">
        <v>2186</v>
      </c>
      <c r="H493" s="22" t="s">
        <v>2434</v>
      </c>
      <c r="I493" s="22" t="s">
        <v>808</v>
      </c>
      <c r="J493" s="18" t="s">
        <v>51</v>
      </c>
    </row>
    <row r="494" spans="1:10" ht="48.75" customHeight="1">
      <c r="A494" s="18" t="s">
        <v>2435</v>
      </c>
      <c r="B494" s="18" t="s">
        <v>315</v>
      </c>
      <c r="C494" s="19" t="s">
        <v>25</v>
      </c>
      <c r="D494" s="19" t="s">
        <v>2436</v>
      </c>
      <c r="E494" s="18" t="s">
        <v>46</v>
      </c>
      <c r="F494" s="18" t="s">
        <v>33</v>
      </c>
      <c r="G494" s="19" t="s">
        <v>2186</v>
      </c>
      <c r="H494" s="19" t="s">
        <v>2437</v>
      </c>
      <c r="I494" s="19" t="s">
        <v>812</v>
      </c>
      <c r="J494" s="18" t="s">
        <v>51</v>
      </c>
    </row>
    <row r="495" spans="1:10" ht="78.75" customHeight="1">
      <c r="A495" s="21" t="s">
        <v>2438</v>
      </c>
      <c r="B495" s="21" t="s">
        <v>315</v>
      </c>
      <c r="C495" s="22" t="s">
        <v>25</v>
      </c>
      <c r="D495" s="22" t="s">
        <v>2439</v>
      </c>
      <c r="E495" s="18" t="s">
        <v>44</v>
      </c>
      <c r="F495" s="21" t="s">
        <v>33</v>
      </c>
      <c r="G495" s="22" t="s">
        <v>2186</v>
      </c>
      <c r="H495" s="22" t="s">
        <v>2440</v>
      </c>
      <c r="I495" s="22" t="s">
        <v>816</v>
      </c>
      <c r="J495" s="18" t="s">
        <v>51</v>
      </c>
    </row>
    <row r="496" spans="1:10" ht="78.75" customHeight="1">
      <c r="A496" s="18" t="s">
        <v>2441</v>
      </c>
      <c r="B496" s="18" t="s">
        <v>315</v>
      </c>
      <c r="C496" s="19" t="s">
        <v>25</v>
      </c>
      <c r="D496" s="19" t="s">
        <v>2442</v>
      </c>
      <c r="E496" s="18" t="s">
        <v>44</v>
      </c>
      <c r="F496" s="18" t="s">
        <v>33</v>
      </c>
      <c r="G496" s="19" t="s">
        <v>2186</v>
      </c>
      <c r="H496" s="19" t="s">
        <v>2443</v>
      </c>
      <c r="I496" s="19" t="s">
        <v>820</v>
      </c>
      <c r="J496" s="18" t="s">
        <v>51</v>
      </c>
    </row>
    <row r="497" spans="1:10" ht="78.75" customHeight="1">
      <c r="A497" s="21" t="s">
        <v>2444</v>
      </c>
      <c r="B497" s="21" t="s">
        <v>315</v>
      </c>
      <c r="C497" s="22" t="s">
        <v>25</v>
      </c>
      <c r="D497" s="22" t="s">
        <v>2445</v>
      </c>
      <c r="E497" s="18" t="s">
        <v>42</v>
      </c>
      <c r="F497" s="21" t="s">
        <v>33</v>
      </c>
      <c r="G497" s="22" t="s">
        <v>2186</v>
      </c>
      <c r="H497" s="22" t="s">
        <v>2446</v>
      </c>
      <c r="I497" s="22" t="s">
        <v>808</v>
      </c>
      <c r="J497" s="18" t="s">
        <v>51</v>
      </c>
    </row>
    <row r="498" spans="1:10" ht="48.75" customHeight="1">
      <c r="A498" s="18" t="s">
        <v>2447</v>
      </c>
      <c r="B498" s="18" t="s">
        <v>315</v>
      </c>
      <c r="C498" s="19" t="s">
        <v>25</v>
      </c>
      <c r="D498" s="19" t="s">
        <v>2448</v>
      </c>
      <c r="E498" s="18" t="s">
        <v>46</v>
      </c>
      <c r="F498" s="18" t="s">
        <v>33</v>
      </c>
      <c r="G498" s="19" t="s">
        <v>2186</v>
      </c>
      <c r="H498" s="19" t="s">
        <v>2449</v>
      </c>
      <c r="I498" s="19" t="s">
        <v>812</v>
      </c>
      <c r="J498" s="18" t="s">
        <v>51</v>
      </c>
    </row>
    <row r="499" spans="1:10" ht="93.75" customHeight="1">
      <c r="A499" s="21" t="s">
        <v>2450</v>
      </c>
      <c r="B499" s="21" t="s">
        <v>315</v>
      </c>
      <c r="C499" s="22" t="s">
        <v>25</v>
      </c>
      <c r="D499" s="22" t="s">
        <v>2451</v>
      </c>
      <c r="E499" s="18" t="s">
        <v>44</v>
      </c>
      <c r="F499" s="21" t="s">
        <v>33</v>
      </c>
      <c r="G499" s="22" t="s">
        <v>2186</v>
      </c>
      <c r="H499" s="22" t="s">
        <v>2452</v>
      </c>
      <c r="I499" s="22" t="s">
        <v>816</v>
      </c>
      <c r="J499" s="18" t="s">
        <v>51</v>
      </c>
    </row>
    <row r="500" spans="1:10" ht="78.75" customHeight="1">
      <c r="A500" s="18" t="s">
        <v>2453</v>
      </c>
      <c r="B500" s="18" t="s">
        <v>315</v>
      </c>
      <c r="C500" s="19" t="s">
        <v>25</v>
      </c>
      <c r="D500" s="19" t="s">
        <v>2454</v>
      </c>
      <c r="E500" s="18" t="s">
        <v>44</v>
      </c>
      <c r="F500" s="18" t="s">
        <v>33</v>
      </c>
      <c r="G500" s="19" t="s">
        <v>2186</v>
      </c>
      <c r="H500" s="19" t="s">
        <v>2455</v>
      </c>
      <c r="I500" s="19" t="s">
        <v>820</v>
      </c>
      <c r="J500" s="18" t="s">
        <v>51</v>
      </c>
    </row>
    <row r="501" spans="1:10" ht="93.75" customHeight="1">
      <c r="A501" s="21" t="s">
        <v>2456</v>
      </c>
      <c r="B501" s="21" t="s">
        <v>315</v>
      </c>
      <c r="C501" s="22" t="s">
        <v>25</v>
      </c>
      <c r="D501" s="22" t="s">
        <v>2457</v>
      </c>
      <c r="E501" s="18" t="s">
        <v>42</v>
      </c>
      <c r="F501" s="21" t="s">
        <v>33</v>
      </c>
      <c r="G501" s="22" t="s">
        <v>2186</v>
      </c>
      <c r="H501" s="22" t="s">
        <v>2458</v>
      </c>
      <c r="I501" s="22" t="s">
        <v>808</v>
      </c>
      <c r="J501" s="18" t="s">
        <v>51</v>
      </c>
    </row>
    <row r="502" spans="1:10" ht="63.75" customHeight="1">
      <c r="A502" s="18" t="s">
        <v>2459</v>
      </c>
      <c r="B502" s="18" t="s">
        <v>315</v>
      </c>
      <c r="C502" s="19" t="s">
        <v>25</v>
      </c>
      <c r="D502" s="19" t="s">
        <v>2460</v>
      </c>
      <c r="E502" s="18" t="s">
        <v>46</v>
      </c>
      <c r="F502" s="18" t="s">
        <v>33</v>
      </c>
      <c r="G502" s="19" t="s">
        <v>2186</v>
      </c>
      <c r="H502" s="19" t="s">
        <v>2461</v>
      </c>
      <c r="I502" s="19" t="s">
        <v>812</v>
      </c>
      <c r="J502" s="18" t="s">
        <v>51</v>
      </c>
    </row>
    <row r="503" spans="1:10" ht="93.75" customHeight="1">
      <c r="A503" s="21" t="s">
        <v>2462</v>
      </c>
      <c r="B503" s="21" t="s">
        <v>315</v>
      </c>
      <c r="C503" s="22" t="s">
        <v>25</v>
      </c>
      <c r="D503" s="22" t="s">
        <v>2463</v>
      </c>
      <c r="E503" s="18" t="s">
        <v>44</v>
      </c>
      <c r="F503" s="21" t="s">
        <v>33</v>
      </c>
      <c r="G503" s="22" t="s">
        <v>2186</v>
      </c>
      <c r="H503" s="22" t="s">
        <v>2464</v>
      </c>
      <c r="I503" s="22" t="s">
        <v>816</v>
      </c>
      <c r="J503" s="18" t="s">
        <v>51</v>
      </c>
    </row>
    <row r="504" spans="1:10" ht="93.75" customHeight="1">
      <c r="A504" s="18" t="s">
        <v>2465</v>
      </c>
      <c r="B504" s="18" t="s">
        <v>315</v>
      </c>
      <c r="C504" s="19" t="s">
        <v>25</v>
      </c>
      <c r="D504" s="19" t="s">
        <v>2466</v>
      </c>
      <c r="E504" s="18" t="s">
        <v>44</v>
      </c>
      <c r="F504" s="18" t="s">
        <v>33</v>
      </c>
      <c r="G504" s="19" t="s">
        <v>2186</v>
      </c>
      <c r="H504" s="19" t="s">
        <v>2467</v>
      </c>
      <c r="I504" s="19" t="s">
        <v>820</v>
      </c>
      <c r="J504" s="18" t="s">
        <v>51</v>
      </c>
    </row>
    <row r="505" spans="1:10" ht="78.75" customHeight="1">
      <c r="A505" s="21" t="s">
        <v>2468</v>
      </c>
      <c r="B505" s="21" t="s">
        <v>321</v>
      </c>
      <c r="C505" s="22" t="s">
        <v>25</v>
      </c>
      <c r="D505" s="22" t="s">
        <v>2469</v>
      </c>
      <c r="E505" s="18" t="s">
        <v>42</v>
      </c>
      <c r="F505" s="21" t="s">
        <v>33</v>
      </c>
      <c r="G505" s="22" t="s">
        <v>836</v>
      </c>
      <c r="H505" s="22" t="s">
        <v>2470</v>
      </c>
      <c r="I505" s="22" t="s">
        <v>2471</v>
      </c>
      <c r="J505" s="18" t="s">
        <v>51</v>
      </c>
    </row>
    <row r="506" spans="1:10" ht="78.75" customHeight="1">
      <c r="A506" s="18" t="s">
        <v>2472</v>
      </c>
      <c r="B506" s="18" t="s">
        <v>321</v>
      </c>
      <c r="C506" s="19" t="s">
        <v>25</v>
      </c>
      <c r="D506" s="19" t="s">
        <v>2473</v>
      </c>
      <c r="E506" s="18" t="s">
        <v>42</v>
      </c>
      <c r="F506" s="18" t="s">
        <v>33</v>
      </c>
      <c r="G506" s="19" t="s">
        <v>836</v>
      </c>
      <c r="H506" s="19" t="s">
        <v>2474</v>
      </c>
      <c r="I506" s="19" t="s">
        <v>2475</v>
      </c>
      <c r="J506" s="18" t="s">
        <v>51</v>
      </c>
    </row>
    <row r="507" spans="1:10" ht="78.75" customHeight="1">
      <c r="A507" s="21" t="s">
        <v>2476</v>
      </c>
      <c r="B507" s="21" t="s">
        <v>321</v>
      </c>
      <c r="C507" s="22" t="s">
        <v>25</v>
      </c>
      <c r="D507" s="22" t="s">
        <v>2477</v>
      </c>
      <c r="E507" s="18" t="s">
        <v>42</v>
      </c>
      <c r="F507" s="21" t="s">
        <v>33</v>
      </c>
      <c r="G507" s="22" t="s">
        <v>836</v>
      </c>
      <c r="H507" s="22" t="s">
        <v>2478</v>
      </c>
      <c r="I507" s="22" t="s">
        <v>2246</v>
      </c>
      <c r="J507" s="18" t="s">
        <v>51</v>
      </c>
    </row>
    <row r="508" spans="1:10" ht="78.75" customHeight="1">
      <c r="A508" s="18" t="s">
        <v>2479</v>
      </c>
      <c r="B508" s="18" t="s">
        <v>321</v>
      </c>
      <c r="C508" s="19" t="s">
        <v>25</v>
      </c>
      <c r="D508" s="19" t="s">
        <v>2480</v>
      </c>
      <c r="E508" s="18" t="s">
        <v>42</v>
      </c>
      <c r="F508" s="18" t="s">
        <v>33</v>
      </c>
      <c r="G508" s="19" t="s">
        <v>836</v>
      </c>
      <c r="H508" s="19" t="s">
        <v>2481</v>
      </c>
      <c r="I508" s="19" t="s">
        <v>2482</v>
      </c>
      <c r="J508" s="18" t="s">
        <v>51</v>
      </c>
    </row>
    <row r="509" spans="1:10" ht="78.75" customHeight="1">
      <c r="A509" s="21" t="s">
        <v>2483</v>
      </c>
      <c r="B509" s="21" t="s">
        <v>321</v>
      </c>
      <c r="C509" s="22" t="s">
        <v>25</v>
      </c>
      <c r="D509" s="22" t="s">
        <v>2484</v>
      </c>
      <c r="E509" s="18" t="s">
        <v>42</v>
      </c>
      <c r="F509" s="21" t="s">
        <v>33</v>
      </c>
      <c r="G509" s="22" t="s">
        <v>836</v>
      </c>
      <c r="H509" s="22" t="s">
        <v>2485</v>
      </c>
      <c r="I509" s="22" t="s">
        <v>2486</v>
      </c>
      <c r="J509" s="18" t="s">
        <v>51</v>
      </c>
    </row>
    <row r="510" spans="1:10" ht="78.75" customHeight="1">
      <c r="A510" s="18" t="s">
        <v>2487</v>
      </c>
      <c r="B510" s="18" t="s">
        <v>321</v>
      </c>
      <c r="C510" s="19" t="s">
        <v>25</v>
      </c>
      <c r="D510" s="19" t="s">
        <v>2488</v>
      </c>
      <c r="E510" s="18" t="s">
        <v>42</v>
      </c>
      <c r="F510" s="18" t="s">
        <v>33</v>
      </c>
      <c r="G510" s="19" t="s">
        <v>836</v>
      </c>
      <c r="H510" s="19" t="s">
        <v>2489</v>
      </c>
      <c r="I510" s="19" t="s">
        <v>808</v>
      </c>
      <c r="J510" s="18" t="s">
        <v>51</v>
      </c>
    </row>
    <row r="511" spans="1:10" ht="48.75" customHeight="1">
      <c r="A511" s="21" t="s">
        <v>2490</v>
      </c>
      <c r="B511" s="21" t="s">
        <v>321</v>
      </c>
      <c r="C511" s="22" t="s">
        <v>25</v>
      </c>
      <c r="D511" s="22" t="s">
        <v>2491</v>
      </c>
      <c r="E511" s="18" t="s">
        <v>46</v>
      </c>
      <c r="F511" s="21" t="s">
        <v>33</v>
      </c>
      <c r="G511" s="22" t="s">
        <v>836</v>
      </c>
      <c r="H511" s="22" t="s">
        <v>2492</v>
      </c>
      <c r="I511" s="22" t="s">
        <v>812</v>
      </c>
      <c r="J511" s="18" t="s">
        <v>51</v>
      </c>
    </row>
    <row r="512" spans="1:10" ht="93.75" customHeight="1">
      <c r="A512" s="18" t="s">
        <v>2493</v>
      </c>
      <c r="B512" s="18" t="s">
        <v>321</v>
      </c>
      <c r="C512" s="19" t="s">
        <v>25</v>
      </c>
      <c r="D512" s="19" t="s">
        <v>2494</v>
      </c>
      <c r="E512" s="18" t="s">
        <v>44</v>
      </c>
      <c r="F512" s="18" t="s">
        <v>33</v>
      </c>
      <c r="G512" s="19" t="s">
        <v>836</v>
      </c>
      <c r="H512" s="19" t="s">
        <v>2495</v>
      </c>
      <c r="I512" s="19" t="s">
        <v>816</v>
      </c>
      <c r="J512" s="18" t="s">
        <v>51</v>
      </c>
    </row>
    <row r="513" spans="1:10" ht="78.75" customHeight="1">
      <c r="A513" s="21" t="s">
        <v>2496</v>
      </c>
      <c r="B513" s="21" t="s">
        <v>321</v>
      </c>
      <c r="C513" s="22" t="s">
        <v>25</v>
      </c>
      <c r="D513" s="22" t="s">
        <v>2497</v>
      </c>
      <c r="E513" s="18" t="s">
        <v>44</v>
      </c>
      <c r="F513" s="21" t="s">
        <v>33</v>
      </c>
      <c r="G513" s="22" t="s">
        <v>836</v>
      </c>
      <c r="H513" s="22" t="s">
        <v>2498</v>
      </c>
      <c r="I513" s="22" t="s">
        <v>820</v>
      </c>
      <c r="J513" s="18" t="s">
        <v>51</v>
      </c>
    </row>
    <row r="514" spans="1:10" ht="48.75" customHeight="1">
      <c r="A514" s="18" t="s">
        <v>2499</v>
      </c>
      <c r="B514" s="18" t="s">
        <v>321</v>
      </c>
      <c r="C514" s="19" t="s">
        <v>25</v>
      </c>
      <c r="D514" s="19" t="s">
        <v>2500</v>
      </c>
      <c r="E514" s="18" t="s">
        <v>46</v>
      </c>
      <c r="F514" s="18" t="s">
        <v>33</v>
      </c>
      <c r="G514" s="19" t="s">
        <v>823</v>
      </c>
      <c r="H514" s="19" t="s">
        <v>2501</v>
      </c>
      <c r="I514" s="19" t="s">
        <v>825</v>
      </c>
      <c r="J514" s="18" t="s">
        <v>51</v>
      </c>
    </row>
    <row r="515" spans="1:10" ht="48.75" customHeight="1">
      <c r="A515" s="21" t="s">
        <v>2502</v>
      </c>
      <c r="B515" s="21" t="s">
        <v>321</v>
      </c>
      <c r="C515" s="22" t="s">
        <v>25</v>
      </c>
      <c r="D515" s="22" t="s">
        <v>2503</v>
      </c>
      <c r="E515" s="18" t="s">
        <v>46</v>
      </c>
      <c r="F515" s="21" t="s">
        <v>33</v>
      </c>
      <c r="G515" s="22" t="s">
        <v>828</v>
      </c>
      <c r="H515" s="22" t="s">
        <v>2504</v>
      </c>
      <c r="I515" s="22" t="s">
        <v>825</v>
      </c>
      <c r="J515" s="18" t="s">
        <v>51</v>
      </c>
    </row>
    <row r="516" spans="1:10" ht="78.75" customHeight="1">
      <c r="A516" s="18" t="s">
        <v>2505</v>
      </c>
      <c r="B516" s="18" t="s">
        <v>328</v>
      </c>
      <c r="C516" s="19" t="s">
        <v>25</v>
      </c>
      <c r="D516" s="19" t="s">
        <v>2506</v>
      </c>
      <c r="E516" s="18" t="s">
        <v>42</v>
      </c>
      <c r="F516" s="18" t="s">
        <v>33</v>
      </c>
      <c r="G516" s="19" t="s">
        <v>2186</v>
      </c>
      <c r="H516" s="19" t="s">
        <v>2507</v>
      </c>
      <c r="I516" s="19" t="s">
        <v>2508</v>
      </c>
      <c r="J516" s="18" t="s">
        <v>51</v>
      </c>
    </row>
    <row r="517" spans="1:10" ht="78.75" customHeight="1">
      <c r="A517" s="21" t="s">
        <v>2509</v>
      </c>
      <c r="B517" s="21" t="s">
        <v>328</v>
      </c>
      <c r="C517" s="22" t="s">
        <v>25</v>
      </c>
      <c r="D517" s="22" t="s">
        <v>2510</v>
      </c>
      <c r="E517" s="18" t="s">
        <v>42</v>
      </c>
      <c r="F517" s="21" t="s">
        <v>33</v>
      </c>
      <c r="G517" s="22" t="s">
        <v>2186</v>
      </c>
      <c r="H517" s="22" t="s">
        <v>2511</v>
      </c>
      <c r="I517" s="22" t="s">
        <v>2512</v>
      </c>
      <c r="J517" s="18" t="s">
        <v>51</v>
      </c>
    </row>
    <row r="518" spans="1:10" ht="78.75" customHeight="1">
      <c r="A518" s="18" t="s">
        <v>2513</v>
      </c>
      <c r="B518" s="18" t="s">
        <v>328</v>
      </c>
      <c r="C518" s="19" t="s">
        <v>25</v>
      </c>
      <c r="D518" s="19" t="s">
        <v>2514</v>
      </c>
      <c r="E518" s="18" t="s">
        <v>42</v>
      </c>
      <c r="F518" s="18" t="s">
        <v>33</v>
      </c>
      <c r="G518" s="19" t="s">
        <v>2186</v>
      </c>
      <c r="H518" s="19" t="s">
        <v>2515</v>
      </c>
      <c r="I518" s="19" t="s">
        <v>2516</v>
      </c>
      <c r="J518" s="18" t="s">
        <v>51</v>
      </c>
    </row>
    <row r="519" spans="1:10" ht="78.75" customHeight="1">
      <c r="A519" s="21" t="s">
        <v>2517</v>
      </c>
      <c r="B519" s="21" t="s">
        <v>328</v>
      </c>
      <c r="C519" s="22" t="s">
        <v>25</v>
      </c>
      <c r="D519" s="22" t="s">
        <v>2518</v>
      </c>
      <c r="E519" s="18" t="s">
        <v>42</v>
      </c>
      <c r="F519" s="21" t="s">
        <v>33</v>
      </c>
      <c r="G519" s="22" t="s">
        <v>2186</v>
      </c>
      <c r="H519" s="22" t="s">
        <v>2519</v>
      </c>
      <c r="I519" s="22" t="s">
        <v>2520</v>
      </c>
      <c r="J519" s="18" t="s">
        <v>51</v>
      </c>
    </row>
    <row r="520" spans="1:10" ht="78.75" customHeight="1">
      <c r="A520" s="18" t="s">
        <v>2521</v>
      </c>
      <c r="B520" s="18" t="s">
        <v>328</v>
      </c>
      <c r="C520" s="19" t="s">
        <v>25</v>
      </c>
      <c r="D520" s="19" t="s">
        <v>2522</v>
      </c>
      <c r="E520" s="18" t="s">
        <v>44</v>
      </c>
      <c r="F520" s="18" t="s">
        <v>33</v>
      </c>
      <c r="G520" s="19" t="s">
        <v>2186</v>
      </c>
      <c r="H520" s="19" t="s">
        <v>2523</v>
      </c>
      <c r="I520" s="19" t="s">
        <v>1284</v>
      </c>
      <c r="J520" s="18" t="s">
        <v>51</v>
      </c>
    </row>
    <row r="521" spans="1:10" ht="78.75" customHeight="1">
      <c r="A521" s="21" t="s">
        <v>2524</v>
      </c>
      <c r="B521" s="21" t="s">
        <v>328</v>
      </c>
      <c r="C521" s="22" t="s">
        <v>25</v>
      </c>
      <c r="D521" s="22" t="s">
        <v>2525</v>
      </c>
      <c r="E521" s="18" t="s">
        <v>42</v>
      </c>
      <c r="F521" s="21" t="s">
        <v>33</v>
      </c>
      <c r="G521" s="22" t="s">
        <v>2186</v>
      </c>
      <c r="H521" s="22" t="s">
        <v>2526</v>
      </c>
      <c r="I521" s="22" t="s">
        <v>1288</v>
      </c>
      <c r="J521" s="18" t="s">
        <v>51</v>
      </c>
    </row>
    <row r="522" spans="1:10" ht="78.75" customHeight="1">
      <c r="A522" s="18" t="s">
        <v>2527</v>
      </c>
      <c r="B522" s="18" t="s">
        <v>332</v>
      </c>
      <c r="C522" s="19" t="s">
        <v>25</v>
      </c>
      <c r="D522" s="19" t="s">
        <v>2528</v>
      </c>
      <c r="E522" s="18" t="s">
        <v>42</v>
      </c>
      <c r="F522" s="18" t="s">
        <v>35</v>
      </c>
      <c r="G522" s="19" t="s">
        <v>1448</v>
      </c>
      <c r="H522" s="19" t="s">
        <v>2529</v>
      </c>
      <c r="I522" s="19" t="s">
        <v>2530</v>
      </c>
      <c r="J522" s="18" t="s">
        <v>51</v>
      </c>
    </row>
    <row r="523" spans="1:10" ht="78.75" customHeight="1">
      <c r="A523" s="21" t="s">
        <v>2531</v>
      </c>
      <c r="B523" s="21" t="s">
        <v>332</v>
      </c>
      <c r="C523" s="22" t="s">
        <v>25</v>
      </c>
      <c r="D523" s="22" t="s">
        <v>2532</v>
      </c>
      <c r="E523" s="18" t="s">
        <v>42</v>
      </c>
      <c r="F523" s="21" t="s">
        <v>35</v>
      </c>
      <c r="G523" s="22" t="s">
        <v>1448</v>
      </c>
      <c r="H523" s="22" t="s">
        <v>2533</v>
      </c>
      <c r="I523" s="22" t="s">
        <v>1499</v>
      </c>
      <c r="J523" s="18" t="s">
        <v>51</v>
      </c>
    </row>
    <row r="524" spans="1:10" ht="78.75" customHeight="1">
      <c r="A524" s="18" t="s">
        <v>2534</v>
      </c>
      <c r="B524" s="18" t="s">
        <v>332</v>
      </c>
      <c r="C524" s="19" t="s">
        <v>25</v>
      </c>
      <c r="D524" s="19" t="s">
        <v>2535</v>
      </c>
      <c r="E524" s="18" t="s">
        <v>42</v>
      </c>
      <c r="F524" s="18" t="s">
        <v>35</v>
      </c>
      <c r="G524" s="19" t="s">
        <v>1448</v>
      </c>
      <c r="H524" s="19" t="s">
        <v>2536</v>
      </c>
      <c r="I524" s="19" t="s">
        <v>1503</v>
      </c>
      <c r="J524" s="18" t="s">
        <v>51</v>
      </c>
    </row>
    <row r="525" spans="1:10" ht="78.75" customHeight="1">
      <c r="A525" s="21" t="s">
        <v>2537</v>
      </c>
      <c r="B525" s="21" t="s">
        <v>332</v>
      </c>
      <c r="C525" s="22" t="s">
        <v>25</v>
      </c>
      <c r="D525" s="22" t="s">
        <v>2538</v>
      </c>
      <c r="E525" s="18" t="s">
        <v>42</v>
      </c>
      <c r="F525" s="21" t="s">
        <v>35</v>
      </c>
      <c r="G525" s="22" t="s">
        <v>1448</v>
      </c>
      <c r="H525" s="22" t="s">
        <v>2539</v>
      </c>
      <c r="I525" s="22" t="s">
        <v>2540</v>
      </c>
      <c r="J525" s="18" t="s">
        <v>51</v>
      </c>
    </row>
    <row r="526" spans="1:10" ht="48.75" customHeight="1">
      <c r="A526" s="18" t="s">
        <v>2541</v>
      </c>
      <c r="B526" s="18" t="s">
        <v>332</v>
      </c>
      <c r="C526" s="19" t="s">
        <v>25</v>
      </c>
      <c r="D526" s="19" t="s">
        <v>2542</v>
      </c>
      <c r="E526" s="18" t="s">
        <v>46</v>
      </c>
      <c r="F526" s="18" t="s">
        <v>35</v>
      </c>
      <c r="G526" s="19" t="s">
        <v>823</v>
      </c>
      <c r="H526" s="19" t="s">
        <v>2543</v>
      </c>
      <c r="I526" s="19" t="s">
        <v>1482</v>
      </c>
      <c r="J526" s="18" t="s">
        <v>51</v>
      </c>
    </row>
    <row r="527" spans="1:10" ht="48.75" customHeight="1">
      <c r="A527" s="21" t="s">
        <v>2544</v>
      </c>
      <c r="B527" s="21" t="s">
        <v>332</v>
      </c>
      <c r="C527" s="22" t="s">
        <v>25</v>
      </c>
      <c r="D527" s="22" t="s">
        <v>2545</v>
      </c>
      <c r="E527" s="18" t="s">
        <v>46</v>
      </c>
      <c r="F527" s="21" t="s">
        <v>35</v>
      </c>
      <c r="G527" s="22" t="s">
        <v>961</v>
      </c>
      <c r="H527" s="22" t="s">
        <v>2546</v>
      </c>
      <c r="I527" s="22" t="s">
        <v>1482</v>
      </c>
      <c r="J527" s="18" t="s">
        <v>51</v>
      </c>
    </row>
    <row r="528" spans="1:10" ht="78.75" customHeight="1">
      <c r="A528" s="18" t="s">
        <v>2547</v>
      </c>
      <c r="B528" s="18" t="s">
        <v>332</v>
      </c>
      <c r="C528" s="19" t="s">
        <v>25</v>
      </c>
      <c r="D528" s="19" t="s">
        <v>2548</v>
      </c>
      <c r="E528" s="18" t="s">
        <v>44</v>
      </c>
      <c r="F528" s="18" t="s">
        <v>35</v>
      </c>
      <c r="G528" s="19" t="s">
        <v>1448</v>
      </c>
      <c r="H528" s="19" t="s">
        <v>1488</v>
      </c>
      <c r="I528" s="19" t="s">
        <v>1284</v>
      </c>
      <c r="J528" s="18" t="s">
        <v>51</v>
      </c>
    </row>
    <row r="529" spans="1:10" ht="78.75" customHeight="1">
      <c r="A529" s="21" t="s">
        <v>2549</v>
      </c>
      <c r="B529" s="21" t="s">
        <v>332</v>
      </c>
      <c r="C529" s="22" t="s">
        <v>25</v>
      </c>
      <c r="D529" s="22" t="s">
        <v>2550</v>
      </c>
      <c r="E529" s="18" t="s">
        <v>42</v>
      </c>
      <c r="F529" s="21" t="s">
        <v>35</v>
      </c>
      <c r="G529" s="22" t="s">
        <v>1448</v>
      </c>
      <c r="H529" s="22" t="s">
        <v>1491</v>
      </c>
      <c r="I529" s="22" t="s">
        <v>1288</v>
      </c>
      <c r="J529" s="18" t="s">
        <v>51</v>
      </c>
    </row>
    <row r="530" spans="1:10" ht="78.75" customHeight="1">
      <c r="A530" s="18" t="s">
        <v>2551</v>
      </c>
      <c r="B530" s="18" t="s">
        <v>336</v>
      </c>
      <c r="C530" s="19" t="s">
        <v>25</v>
      </c>
      <c r="D530" s="19" t="s">
        <v>2552</v>
      </c>
      <c r="E530" s="18" t="s">
        <v>42</v>
      </c>
      <c r="F530" s="18" t="s">
        <v>35</v>
      </c>
      <c r="G530" s="19" t="s">
        <v>920</v>
      </c>
      <c r="H530" s="19" t="s">
        <v>2553</v>
      </c>
      <c r="I530" s="19" t="s">
        <v>2554</v>
      </c>
      <c r="J530" s="18" t="s">
        <v>51</v>
      </c>
    </row>
    <row r="531" spans="1:10" ht="78.75" customHeight="1">
      <c r="A531" s="21" t="s">
        <v>2555</v>
      </c>
      <c r="B531" s="21" t="s">
        <v>336</v>
      </c>
      <c r="C531" s="22" t="s">
        <v>25</v>
      </c>
      <c r="D531" s="22" t="s">
        <v>2556</v>
      </c>
      <c r="E531" s="18" t="s">
        <v>42</v>
      </c>
      <c r="F531" s="21" t="s">
        <v>35</v>
      </c>
      <c r="G531" s="22" t="s">
        <v>920</v>
      </c>
      <c r="H531" s="22" t="s">
        <v>2557</v>
      </c>
      <c r="I531" s="22" t="s">
        <v>2558</v>
      </c>
      <c r="J531" s="18" t="s">
        <v>51</v>
      </c>
    </row>
    <row r="532" spans="1:10" ht="78.75" customHeight="1">
      <c r="A532" s="18" t="s">
        <v>2559</v>
      </c>
      <c r="B532" s="18" t="s">
        <v>336</v>
      </c>
      <c r="C532" s="19" t="s">
        <v>25</v>
      </c>
      <c r="D532" s="19" t="s">
        <v>2560</v>
      </c>
      <c r="E532" s="18" t="s">
        <v>42</v>
      </c>
      <c r="F532" s="18" t="s">
        <v>35</v>
      </c>
      <c r="G532" s="19" t="s">
        <v>920</v>
      </c>
      <c r="H532" s="19" t="s">
        <v>2561</v>
      </c>
      <c r="I532" s="19" t="s">
        <v>2562</v>
      </c>
      <c r="J532" s="18" t="s">
        <v>51</v>
      </c>
    </row>
    <row r="533" spans="1:10" ht="78.75" customHeight="1">
      <c r="A533" s="21" t="s">
        <v>2563</v>
      </c>
      <c r="B533" s="21" t="s">
        <v>336</v>
      </c>
      <c r="C533" s="22" t="s">
        <v>25</v>
      </c>
      <c r="D533" s="22" t="s">
        <v>2564</v>
      </c>
      <c r="E533" s="18" t="s">
        <v>42</v>
      </c>
      <c r="F533" s="21" t="s">
        <v>35</v>
      </c>
      <c r="G533" s="22" t="s">
        <v>920</v>
      </c>
      <c r="H533" s="22" t="s">
        <v>2565</v>
      </c>
      <c r="I533" s="22" t="s">
        <v>2566</v>
      </c>
      <c r="J533" s="18" t="s">
        <v>51</v>
      </c>
    </row>
    <row r="534" spans="1:10" ht="48.75" customHeight="1">
      <c r="A534" s="18" t="s">
        <v>2567</v>
      </c>
      <c r="B534" s="18" t="s">
        <v>336</v>
      </c>
      <c r="C534" s="19" t="s">
        <v>25</v>
      </c>
      <c r="D534" s="19" t="s">
        <v>2568</v>
      </c>
      <c r="E534" s="18" t="s">
        <v>46</v>
      </c>
      <c r="F534" s="18" t="s">
        <v>35</v>
      </c>
      <c r="G534" s="19" t="s">
        <v>823</v>
      </c>
      <c r="H534" s="19" t="s">
        <v>2569</v>
      </c>
      <c r="I534" s="19" t="s">
        <v>958</v>
      </c>
      <c r="J534" s="18" t="s">
        <v>51</v>
      </c>
    </row>
    <row r="535" spans="1:10" ht="48.75" customHeight="1">
      <c r="A535" s="21" t="s">
        <v>2570</v>
      </c>
      <c r="B535" s="21" t="s">
        <v>336</v>
      </c>
      <c r="C535" s="22" t="s">
        <v>25</v>
      </c>
      <c r="D535" s="22" t="s">
        <v>2571</v>
      </c>
      <c r="E535" s="18" t="s">
        <v>46</v>
      </c>
      <c r="F535" s="21" t="s">
        <v>35</v>
      </c>
      <c r="G535" s="22" t="s">
        <v>961</v>
      </c>
      <c r="H535" s="22" t="s">
        <v>2572</v>
      </c>
      <c r="I535" s="22" t="s">
        <v>958</v>
      </c>
      <c r="J535" s="18" t="s">
        <v>51</v>
      </c>
    </row>
    <row r="536" spans="1:10" ht="48.75" customHeight="1">
      <c r="A536" s="18" t="s">
        <v>2573</v>
      </c>
      <c r="B536" s="18" t="s">
        <v>336</v>
      </c>
      <c r="C536" s="19" t="s">
        <v>25</v>
      </c>
      <c r="D536" s="19" t="s">
        <v>2574</v>
      </c>
      <c r="E536" s="18" t="s">
        <v>46</v>
      </c>
      <c r="F536" s="18" t="s">
        <v>35</v>
      </c>
      <c r="G536" s="19" t="s">
        <v>828</v>
      </c>
      <c r="H536" s="19" t="s">
        <v>2575</v>
      </c>
      <c r="I536" s="19" t="s">
        <v>958</v>
      </c>
      <c r="J536" s="18" t="s">
        <v>51</v>
      </c>
    </row>
    <row r="537" spans="1:10" ht="48.75" customHeight="1">
      <c r="A537" s="21" t="s">
        <v>2576</v>
      </c>
      <c r="B537" s="21" t="s">
        <v>340</v>
      </c>
      <c r="C537" s="22" t="s">
        <v>25</v>
      </c>
      <c r="D537" s="22" t="s">
        <v>2577</v>
      </c>
      <c r="E537" s="18" t="s">
        <v>46</v>
      </c>
      <c r="F537" s="21" t="s">
        <v>37</v>
      </c>
      <c r="G537" s="22" t="s">
        <v>823</v>
      </c>
      <c r="H537" s="22" t="s">
        <v>2578</v>
      </c>
      <c r="I537" s="22" t="s">
        <v>958</v>
      </c>
      <c r="J537" s="18" t="s">
        <v>51</v>
      </c>
    </row>
    <row r="538" spans="1:10" ht="48.75" customHeight="1">
      <c r="A538" s="18" t="s">
        <v>2579</v>
      </c>
      <c r="B538" s="18" t="s">
        <v>340</v>
      </c>
      <c r="C538" s="19" t="s">
        <v>25</v>
      </c>
      <c r="D538" s="19" t="s">
        <v>2580</v>
      </c>
      <c r="E538" s="18" t="s">
        <v>46</v>
      </c>
      <c r="F538" s="18" t="s">
        <v>37</v>
      </c>
      <c r="G538" s="19" t="s">
        <v>961</v>
      </c>
      <c r="H538" s="19" t="s">
        <v>2581</v>
      </c>
      <c r="I538" s="19" t="s">
        <v>958</v>
      </c>
      <c r="J538" s="18" t="s">
        <v>51</v>
      </c>
    </row>
    <row r="539" spans="1:10" ht="48.75" customHeight="1">
      <c r="A539" s="21" t="s">
        <v>2582</v>
      </c>
      <c r="B539" s="21" t="s">
        <v>340</v>
      </c>
      <c r="C539" s="22" t="s">
        <v>25</v>
      </c>
      <c r="D539" s="22" t="s">
        <v>2583</v>
      </c>
      <c r="E539" s="18" t="s">
        <v>46</v>
      </c>
      <c r="F539" s="21" t="s">
        <v>37</v>
      </c>
      <c r="G539" s="22" t="s">
        <v>828</v>
      </c>
      <c r="H539" s="22" t="s">
        <v>2584</v>
      </c>
      <c r="I539" s="22" t="s">
        <v>958</v>
      </c>
      <c r="J539" s="18" t="s">
        <v>51</v>
      </c>
    </row>
    <row r="540" spans="1:10" ht="78.75" customHeight="1">
      <c r="A540" s="18" t="s">
        <v>2585</v>
      </c>
      <c r="B540" s="18" t="s">
        <v>340</v>
      </c>
      <c r="C540" s="19" t="s">
        <v>25</v>
      </c>
      <c r="D540" s="19" t="s">
        <v>2586</v>
      </c>
      <c r="E540" s="18" t="s">
        <v>44</v>
      </c>
      <c r="F540" s="18" t="s">
        <v>37</v>
      </c>
      <c r="G540" s="19" t="s">
        <v>920</v>
      </c>
      <c r="H540" s="19" t="s">
        <v>1364</v>
      </c>
      <c r="I540" s="19" t="s">
        <v>1284</v>
      </c>
      <c r="J540" s="18" t="s">
        <v>51</v>
      </c>
    </row>
    <row r="541" spans="1:10" ht="78.75" customHeight="1">
      <c r="A541" s="21" t="s">
        <v>2587</v>
      </c>
      <c r="B541" s="21" t="s">
        <v>340</v>
      </c>
      <c r="C541" s="22" t="s">
        <v>25</v>
      </c>
      <c r="D541" s="22" t="s">
        <v>2588</v>
      </c>
      <c r="E541" s="18" t="s">
        <v>42</v>
      </c>
      <c r="F541" s="21" t="s">
        <v>37</v>
      </c>
      <c r="G541" s="22" t="s">
        <v>920</v>
      </c>
      <c r="H541" s="22" t="s">
        <v>1367</v>
      </c>
      <c r="I541" s="22" t="s">
        <v>1288</v>
      </c>
      <c r="J541" s="18" t="s">
        <v>51</v>
      </c>
    </row>
    <row r="542" spans="1:10" ht="78.75" customHeight="1">
      <c r="A542" s="18" t="s">
        <v>2589</v>
      </c>
      <c r="B542" s="18" t="s">
        <v>343</v>
      </c>
      <c r="C542" s="19" t="s">
        <v>25</v>
      </c>
      <c r="D542" s="19" t="s">
        <v>2590</v>
      </c>
      <c r="E542" s="18" t="s">
        <v>42</v>
      </c>
      <c r="F542" s="18" t="s">
        <v>33</v>
      </c>
      <c r="G542" s="19" t="s">
        <v>836</v>
      </c>
      <c r="H542" s="19" t="s">
        <v>2591</v>
      </c>
      <c r="I542" s="19" t="s">
        <v>2592</v>
      </c>
      <c r="J542" s="18" t="s">
        <v>51</v>
      </c>
    </row>
    <row r="543" spans="1:10" ht="78.75" customHeight="1">
      <c r="A543" s="21" t="s">
        <v>2593</v>
      </c>
      <c r="B543" s="21" t="s">
        <v>343</v>
      </c>
      <c r="C543" s="22" t="s">
        <v>25</v>
      </c>
      <c r="D543" s="22" t="s">
        <v>2594</v>
      </c>
      <c r="E543" s="18" t="s">
        <v>42</v>
      </c>
      <c r="F543" s="21" t="s">
        <v>33</v>
      </c>
      <c r="G543" s="22" t="s">
        <v>836</v>
      </c>
      <c r="H543" s="22" t="s">
        <v>2595</v>
      </c>
      <c r="I543" s="22" t="s">
        <v>2596</v>
      </c>
      <c r="J543" s="18" t="s">
        <v>51</v>
      </c>
    </row>
    <row r="544" spans="1:10" ht="78.75" customHeight="1">
      <c r="A544" s="18" t="s">
        <v>2597</v>
      </c>
      <c r="B544" s="18" t="s">
        <v>343</v>
      </c>
      <c r="C544" s="19" t="s">
        <v>25</v>
      </c>
      <c r="D544" s="19" t="s">
        <v>2598</v>
      </c>
      <c r="E544" s="18" t="s">
        <v>42</v>
      </c>
      <c r="F544" s="18" t="s">
        <v>33</v>
      </c>
      <c r="G544" s="19" t="s">
        <v>836</v>
      </c>
      <c r="H544" s="19" t="s">
        <v>2599</v>
      </c>
      <c r="I544" s="19" t="s">
        <v>2600</v>
      </c>
      <c r="J544" s="18" t="s">
        <v>51</v>
      </c>
    </row>
    <row r="545" spans="1:10" ht="48.75" customHeight="1">
      <c r="A545" s="21" t="s">
        <v>2601</v>
      </c>
      <c r="B545" s="21" t="s">
        <v>343</v>
      </c>
      <c r="C545" s="22" t="s">
        <v>25</v>
      </c>
      <c r="D545" s="22" t="s">
        <v>2602</v>
      </c>
      <c r="E545" s="18" t="s">
        <v>46</v>
      </c>
      <c r="F545" s="21" t="s">
        <v>33</v>
      </c>
      <c r="G545" s="22" t="s">
        <v>823</v>
      </c>
      <c r="H545" s="22" t="s">
        <v>2603</v>
      </c>
      <c r="I545" s="22" t="s">
        <v>825</v>
      </c>
      <c r="J545" s="18" t="s">
        <v>51</v>
      </c>
    </row>
    <row r="546" spans="1:10" ht="48.75" customHeight="1">
      <c r="A546" s="18" t="s">
        <v>2604</v>
      </c>
      <c r="B546" s="18" t="s">
        <v>343</v>
      </c>
      <c r="C546" s="19" t="s">
        <v>25</v>
      </c>
      <c r="D546" s="19" t="s">
        <v>2605</v>
      </c>
      <c r="E546" s="18" t="s">
        <v>46</v>
      </c>
      <c r="F546" s="18" t="s">
        <v>33</v>
      </c>
      <c r="G546" s="19" t="s">
        <v>828</v>
      </c>
      <c r="H546" s="19" t="s">
        <v>2606</v>
      </c>
      <c r="I546" s="19" t="s">
        <v>825</v>
      </c>
      <c r="J546" s="18" t="s">
        <v>51</v>
      </c>
    </row>
    <row r="547" spans="1:10" ht="78.75" customHeight="1">
      <c r="A547" s="21" t="s">
        <v>2607</v>
      </c>
      <c r="B547" s="21" t="s">
        <v>343</v>
      </c>
      <c r="C547" s="22" t="s">
        <v>25</v>
      </c>
      <c r="D547" s="22" t="s">
        <v>2608</v>
      </c>
      <c r="E547" s="18" t="s">
        <v>44</v>
      </c>
      <c r="F547" s="21" t="s">
        <v>33</v>
      </c>
      <c r="G547" s="22" t="s">
        <v>836</v>
      </c>
      <c r="H547" s="22" t="s">
        <v>1337</v>
      </c>
      <c r="I547" s="22" t="s">
        <v>1284</v>
      </c>
      <c r="J547" s="18" t="s">
        <v>51</v>
      </c>
    </row>
    <row r="548" spans="1:10" ht="78.75" customHeight="1">
      <c r="A548" s="18" t="s">
        <v>2609</v>
      </c>
      <c r="B548" s="18" t="s">
        <v>343</v>
      </c>
      <c r="C548" s="19" t="s">
        <v>25</v>
      </c>
      <c r="D548" s="19" t="s">
        <v>2610</v>
      </c>
      <c r="E548" s="18" t="s">
        <v>42</v>
      </c>
      <c r="F548" s="18" t="s">
        <v>33</v>
      </c>
      <c r="G548" s="19" t="s">
        <v>836</v>
      </c>
      <c r="H548" s="19" t="s">
        <v>1340</v>
      </c>
      <c r="I548" s="19" t="s">
        <v>1288</v>
      </c>
      <c r="J548" s="18" t="s">
        <v>51</v>
      </c>
    </row>
    <row r="549" spans="1:10" ht="93.75" customHeight="1">
      <c r="A549" s="21" t="s">
        <v>2611</v>
      </c>
      <c r="B549" s="21" t="s">
        <v>343</v>
      </c>
      <c r="C549" s="22" t="s">
        <v>25</v>
      </c>
      <c r="D549" s="22" t="s">
        <v>2612</v>
      </c>
      <c r="E549" s="18" t="s">
        <v>44</v>
      </c>
      <c r="F549" s="21" t="s">
        <v>33</v>
      </c>
      <c r="G549" s="22" t="s">
        <v>836</v>
      </c>
      <c r="H549" s="22" t="s">
        <v>2613</v>
      </c>
      <c r="I549" s="22" t="s">
        <v>833</v>
      </c>
      <c r="J549" s="18" t="s">
        <v>51</v>
      </c>
    </row>
    <row r="550" spans="1:10" ht="78.75" customHeight="1">
      <c r="A550" s="18" t="s">
        <v>2614</v>
      </c>
      <c r="B550" s="18" t="s">
        <v>347</v>
      </c>
      <c r="C550" s="19" t="s">
        <v>25</v>
      </c>
      <c r="D550" s="19" t="s">
        <v>2615</v>
      </c>
      <c r="E550" s="18" t="s">
        <v>42</v>
      </c>
      <c r="F550" s="18" t="s">
        <v>33</v>
      </c>
      <c r="G550" s="19" t="s">
        <v>920</v>
      </c>
      <c r="H550" s="19" t="s">
        <v>1710</v>
      </c>
      <c r="I550" s="19" t="s">
        <v>1711</v>
      </c>
      <c r="J550" s="18" t="s">
        <v>51</v>
      </c>
    </row>
    <row r="551" spans="1:10" ht="78.75" customHeight="1">
      <c r="A551" s="21" t="s">
        <v>2616</v>
      </c>
      <c r="B551" s="21" t="s">
        <v>347</v>
      </c>
      <c r="C551" s="22" t="s">
        <v>25</v>
      </c>
      <c r="D551" s="22" t="s">
        <v>2617</v>
      </c>
      <c r="E551" s="18" t="s">
        <v>42</v>
      </c>
      <c r="F551" s="21" t="s">
        <v>33</v>
      </c>
      <c r="G551" s="22" t="s">
        <v>920</v>
      </c>
      <c r="H551" s="22" t="s">
        <v>2618</v>
      </c>
      <c r="I551" s="22" t="s">
        <v>2619</v>
      </c>
      <c r="J551" s="18" t="s">
        <v>51</v>
      </c>
    </row>
    <row r="552" spans="1:10" ht="48.75" customHeight="1">
      <c r="A552" s="18" t="s">
        <v>2620</v>
      </c>
      <c r="B552" s="18" t="s">
        <v>347</v>
      </c>
      <c r="C552" s="19" t="s">
        <v>25</v>
      </c>
      <c r="D552" s="19" t="s">
        <v>2621</v>
      </c>
      <c r="E552" s="18" t="s">
        <v>46</v>
      </c>
      <c r="F552" s="18" t="s">
        <v>33</v>
      </c>
      <c r="G552" s="19" t="s">
        <v>823</v>
      </c>
      <c r="H552" s="19" t="s">
        <v>2622</v>
      </c>
      <c r="I552" s="19" t="s">
        <v>958</v>
      </c>
      <c r="J552" s="18" t="s">
        <v>51</v>
      </c>
    </row>
    <row r="553" spans="1:10" ht="48.75" customHeight="1">
      <c r="A553" s="21" t="s">
        <v>2623</v>
      </c>
      <c r="B553" s="21" t="s">
        <v>347</v>
      </c>
      <c r="C553" s="22" t="s">
        <v>25</v>
      </c>
      <c r="D553" s="22" t="s">
        <v>2624</v>
      </c>
      <c r="E553" s="18" t="s">
        <v>46</v>
      </c>
      <c r="F553" s="21" t="s">
        <v>33</v>
      </c>
      <c r="G553" s="22" t="s">
        <v>961</v>
      </c>
      <c r="H553" s="22" t="s">
        <v>2625</v>
      </c>
      <c r="I553" s="22" t="s">
        <v>958</v>
      </c>
      <c r="J553" s="18" t="s">
        <v>51</v>
      </c>
    </row>
    <row r="554" spans="1:10" ht="48.75" customHeight="1">
      <c r="A554" s="18" t="s">
        <v>2626</v>
      </c>
      <c r="B554" s="18" t="s">
        <v>347</v>
      </c>
      <c r="C554" s="19" t="s">
        <v>25</v>
      </c>
      <c r="D554" s="19" t="s">
        <v>2627</v>
      </c>
      <c r="E554" s="18" t="s">
        <v>46</v>
      </c>
      <c r="F554" s="18" t="s">
        <v>33</v>
      </c>
      <c r="G554" s="19" t="s">
        <v>828</v>
      </c>
      <c r="H554" s="19" t="s">
        <v>2628</v>
      </c>
      <c r="I554" s="19" t="s">
        <v>958</v>
      </c>
      <c r="J554" s="18" t="s">
        <v>51</v>
      </c>
    </row>
    <row r="555" spans="1:10" ht="93.75" customHeight="1">
      <c r="A555" s="21" t="s">
        <v>2629</v>
      </c>
      <c r="B555" s="21" t="s">
        <v>347</v>
      </c>
      <c r="C555" s="22" t="s">
        <v>25</v>
      </c>
      <c r="D555" s="22" t="s">
        <v>2630</v>
      </c>
      <c r="E555" s="18" t="s">
        <v>44</v>
      </c>
      <c r="F555" s="21" t="s">
        <v>33</v>
      </c>
      <c r="G555" s="22" t="s">
        <v>920</v>
      </c>
      <c r="H555" s="22" t="s">
        <v>1122</v>
      </c>
      <c r="I555" s="22" t="s">
        <v>833</v>
      </c>
      <c r="J555" s="18" t="s">
        <v>51</v>
      </c>
    </row>
    <row r="556" spans="1:10" ht="78.75" customHeight="1">
      <c r="A556" s="18" t="s">
        <v>2631</v>
      </c>
      <c r="B556" s="18" t="s">
        <v>351</v>
      </c>
      <c r="C556" s="19" t="s">
        <v>25</v>
      </c>
      <c r="D556" s="19" t="s">
        <v>2632</v>
      </c>
      <c r="E556" s="18" t="s">
        <v>42</v>
      </c>
      <c r="F556" s="18" t="s">
        <v>37</v>
      </c>
      <c r="G556" s="19" t="s">
        <v>920</v>
      </c>
      <c r="H556" s="19" t="s">
        <v>2633</v>
      </c>
      <c r="I556" s="19" t="s">
        <v>2634</v>
      </c>
      <c r="J556" s="18" t="s">
        <v>51</v>
      </c>
    </row>
    <row r="557" spans="1:10" ht="78.75" customHeight="1">
      <c r="A557" s="21" t="s">
        <v>2635</v>
      </c>
      <c r="B557" s="21" t="s">
        <v>351</v>
      </c>
      <c r="C557" s="22" t="s">
        <v>25</v>
      </c>
      <c r="D557" s="22" t="s">
        <v>2636</v>
      </c>
      <c r="E557" s="18" t="s">
        <v>42</v>
      </c>
      <c r="F557" s="21" t="s">
        <v>37</v>
      </c>
      <c r="G557" s="22" t="s">
        <v>920</v>
      </c>
      <c r="H557" s="22" t="s">
        <v>2637</v>
      </c>
      <c r="I557" s="22" t="s">
        <v>2638</v>
      </c>
      <c r="J557" s="18" t="s">
        <v>51</v>
      </c>
    </row>
    <row r="558" spans="1:10" ht="78.75" customHeight="1">
      <c r="A558" s="18" t="s">
        <v>2639</v>
      </c>
      <c r="B558" s="18" t="s">
        <v>351</v>
      </c>
      <c r="C558" s="19" t="s">
        <v>25</v>
      </c>
      <c r="D558" s="19" t="s">
        <v>2640</v>
      </c>
      <c r="E558" s="18" t="s">
        <v>42</v>
      </c>
      <c r="F558" s="18" t="s">
        <v>37</v>
      </c>
      <c r="G558" s="19" t="s">
        <v>920</v>
      </c>
      <c r="H558" s="19" t="s">
        <v>2641</v>
      </c>
      <c r="I558" s="19" t="s">
        <v>2642</v>
      </c>
      <c r="J558" s="18" t="s">
        <v>51</v>
      </c>
    </row>
    <row r="559" spans="1:10" ht="108.75" customHeight="1">
      <c r="A559" s="21" t="s">
        <v>2643</v>
      </c>
      <c r="B559" s="21" t="s">
        <v>351</v>
      </c>
      <c r="C559" s="22" t="s">
        <v>25</v>
      </c>
      <c r="D559" s="22" t="s">
        <v>2644</v>
      </c>
      <c r="E559" s="18" t="s">
        <v>42</v>
      </c>
      <c r="F559" s="21" t="s">
        <v>37</v>
      </c>
      <c r="G559" s="22" t="s">
        <v>920</v>
      </c>
      <c r="H559" s="22" t="s">
        <v>2645</v>
      </c>
      <c r="I559" s="22" t="s">
        <v>2646</v>
      </c>
      <c r="J559" s="18" t="s">
        <v>51</v>
      </c>
    </row>
    <row r="560" spans="1:10" ht="48.75" customHeight="1">
      <c r="A560" s="18" t="s">
        <v>2647</v>
      </c>
      <c r="B560" s="18" t="s">
        <v>351</v>
      </c>
      <c r="C560" s="19" t="s">
        <v>25</v>
      </c>
      <c r="D560" s="19" t="s">
        <v>2648</v>
      </c>
      <c r="E560" s="18" t="s">
        <v>46</v>
      </c>
      <c r="F560" s="18" t="s">
        <v>37</v>
      </c>
      <c r="G560" s="19" t="s">
        <v>823</v>
      </c>
      <c r="H560" s="19" t="s">
        <v>2649</v>
      </c>
      <c r="I560" s="19" t="s">
        <v>958</v>
      </c>
      <c r="J560" s="18" t="s">
        <v>51</v>
      </c>
    </row>
    <row r="561" spans="1:10" ht="48.75" customHeight="1">
      <c r="A561" s="21" t="s">
        <v>2650</v>
      </c>
      <c r="B561" s="21" t="s">
        <v>351</v>
      </c>
      <c r="C561" s="22" t="s">
        <v>25</v>
      </c>
      <c r="D561" s="22" t="s">
        <v>2651</v>
      </c>
      <c r="E561" s="18" t="s">
        <v>46</v>
      </c>
      <c r="F561" s="21" t="s">
        <v>37</v>
      </c>
      <c r="G561" s="22" t="s">
        <v>961</v>
      </c>
      <c r="H561" s="22" t="s">
        <v>2652</v>
      </c>
      <c r="I561" s="22" t="s">
        <v>958</v>
      </c>
      <c r="J561" s="18" t="s">
        <v>51</v>
      </c>
    </row>
    <row r="562" spans="1:10" ht="48.75" customHeight="1">
      <c r="A562" s="18" t="s">
        <v>2653</v>
      </c>
      <c r="B562" s="18" t="s">
        <v>351</v>
      </c>
      <c r="C562" s="19" t="s">
        <v>25</v>
      </c>
      <c r="D562" s="19" t="s">
        <v>2654</v>
      </c>
      <c r="E562" s="18" t="s">
        <v>46</v>
      </c>
      <c r="F562" s="18" t="s">
        <v>37</v>
      </c>
      <c r="G562" s="19" t="s">
        <v>828</v>
      </c>
      <c r="H562" s="19" t="s">
        <v>2655</v>
      </c>
      <c r="I562" s="19" t="s">
        <v>958</v>
      </c>
      <c r="J562" s="18" t="s">
        <v>51</v>
      </c>
    </row>
    <row r="563" spans="1:10" ht="78.75" customHeight="1">
      <c r="A563" s="21" t="s">
        <v>2656</v>
      </c>
      <c r="B563" s="21" t="s">
        <v>355</v>
      </c>
      <c r="C563" s="22" t="s">
        <v>25</v>
      </c>
      <c r="D563" s="22" t="s">
        <v>2657</v>
      </c>
      <c r="E563" s="18" t="s">
        <v>42</v>
      </c>
      <c r="F563" s="21" t="s">
        <v>37</v>
      </c>
      <c r="G563" s="22" t="s">
        <v>920</v>
      </c>
      <c r="H563" s="22" t="s">
        <v>2658</v>
      </c>
      <c r="I563" s="22" t="s">
        <v>2659</v>
      </c>
      <c r="J563" s="18" t="s">
        <v>51</v>
      </c>
    </row>
    <row r="564" spans="1:10" ht="78.75" customHeight="1">
      <c r="A564" s="18" t="s">
        <v>2660</v>
      </c>
      <c r="B564" s="18" t="s">
        <v>355</v>
      </c>
      <c r="C564" s="19" t="s">
        <v>25</v>
      </c>
      <c r="D564" s="19" t="s">
        <v>2661</v>
      </c>
      <c r="E564" s="18" t="s">
        <v>42</v>
      </c>
      <c r="F564" s="18" t="s">
        <v>37</v>
      </c>
      <c r="G564" s="19" t="s">
        <v>920</v>
      </c>
      <c r="H564" s="19" t="s">
        <v>2662</v>
      </c>
      <c r="I564" s="19" t="s">
        <v>2663</v>
      </c>
      <c r="J564" s="18" t="s">
        <v>51</v>
      </c>
    </row>
    <row r="565" spans="1:10" ht="78.75" customHeight="1">
      <c r="A565" s="21" t="s">
        <v>2664</v>
      </c>
      <c r="B565" s="21" t="s">
        <v>355</v>
      </c>
      <c r="C565" s="22" t="s">
        <v>25</v>
      </c>
      <c r="D565" s="22" t="s">
        <v>2665</v>
      </c>
      <c r="E565" s="18" t="s">
        <v>42</v>
      </c>
      <c r="F565" s="21" t="s">
        <v>37</v>
      </c>
      <c r="G565" s="22" t="s">
        <v>920</v>
      </c>
      <c r="H565" s="22" t="s">
        <v>2666</v>
      </c>
      <c r="I565" s="22" t="s">
        <v>2667</v>
      </c>
      <c r="J565" s="18" t="s">
        <v>51</v>
      </c>
    </row>
    <row r="566" spans="1:10" ht="48.75" customHeight="1">
      <c r="A566" s="18" t="s">
        <v>2668</v>
      </c>
      <c r="B566" s="18" t="s">
        <v>355</v>
      </c>
      <c r="C566" s="19" t="s">
        <v>25</v>
      </c>
      <c r="D566" s="19" t="s">
        <v>2669</v>
      </c>
      <c r="E566" s="18" t="s">
        <v>46</v>
      </c>
      <c r="F566" s="18" t="s">
        <v>37</v>
      </c>
      <c r="G566" s="19" t="s">
        <v>823</v>
      </c>
      <c r="H566" s="19" t="s">
        <v>2670</v>
      </c>
      <c r="I566" s="19" t="s">
        <v>958</v>
      </c>
      <c r="J566" s="18" t="s">
        <v>51</v>
      </c>
    </row>
    <row r="567" spans="1:10" ht="48.75" customHeight="1">
      <c r="A567" s="21" t="s">
        <v>2671</v>
      </c>
      <c r="B567" s="21" t="s">
        <v>355</v>
      </c>
      <c r="C567" s="22" t="s">
        <v>25</v>
      </c>
      <c r="D567" s="22" t="s">
        <v>2672</v>
      </c>
      <c r="E567" s="18" t="s">
        <v>46</v>
      </c>
      <c r="F567" s="21" t="s">
        <v>37</v>
      </c>
      <c r="G567" s="22" t="s">
        <v>961</v>
      </c>
      <c r="H567" s="22" t="s">
        <v>2673</v>
      </c>
      <c r="I567" s="22" t="s">
        <v>958</v>
      </c>
      <c r="J567" s="18" t="s">
        <v>51</v>
      </c>
    </row>
    <row r="568" spans="1:10" ht="48.75" customHeight="1">
      <c r="A568" s="18" t="s">
        <v>2674</v>
      </c>
      <c r="B568" s="18" t="s">
        <v>355</v>
      </c>
      <c r="C568" s="19" t="s">
        <v>25</v>
      </c>
      <c r="D568" s="19" t="s">
        <v>2675</v>
      </c>
      <c r="E568" s="18" t="s">
        <v>46</v>
      </c>
      <c r="F568" s="18" t="s">
        <v>37</v>
      </c>
      <c r="G568" s="19" t="s">
        <v>828</v>
      </c>
      <c r="H568" s="19" t="s">
        <v>2676</v>
      </c>
      <c r="I568" s="19" t="s">
        <v>958</v>
      </c>
      <c r="J568" s="18" t="s">
        <v>51</v>
      </c>
    </row>
    <row r="569" spans="1:10" ht="93.75" customHeight="1">
      <c r="A569" s="21" t="s">
        <v>2677</v>
      </c>
      <c r="B569" s="21" t="s">
        <v>355</v>
      </c>
      <c r="C569" s="22" t="s">
        <v>25</v>
      </c>
      <c r="D569" s="22" t="s">
        <v>2678</v>
      </c>
      <c r="E569" s="18" t="s">
        <v>44</v>
      </c>
      <c r="F569" s="21" t="s">
        <v>37</v>
      </c>
      <c r="G569" s="22" t="s">
        <v>920</v>
      </c>
      <c r="H569" s="22" t="s">
        <v>1122</v>
      </c>
      <c r="I569" s="22" t="s">
        <v>833</v>
      </c>
      <c r="J569" s="18" t="s">
        <v>51</v>
      </c>
    </row>
    <row r="570" spans="1:10" ht="78.75" customHeight="1">
      <c r="A570" s="18" t="s">
        <v>2679</v>
      </c>
      <c r="B570" s="18" t="s">
        <v>359</v>
      </c>
      <c r="C570" s="19" t="s">
        <v>25</v>
      </c>
      <c r="D570" s="19" t="s">
        <v>2680</v>
      </c>
      <c r="E570" s="18" t="s">
        <v>42</v>
      </c>
      <c r="F570" s="18" t="s">
        <v>37</v>
      </c>
      <c r="G570" s="19" t="s">
        <v>920</v>
      </c>
      <c r="H570" s="19" t="s">
        <v>2681</v>
      </c>
      <c r="I570" s="19" t="s">
        <v>2682</v>
      </c>
      <c r="J570" s="18" t="s">
        <v>51</v>
      </c>
    </row>
    <row r="571" spans="1:10" ht="78.75" customHeight="1">
      <c r="A571" s="21" t="s">
        <v>2683</v>
      </c>
      <c r="B571" s="21" t="s">
        <v>359</v>
      </c>
      <c r="C571" s="22" t="s">
        <v>25</v>
      </c>
      <c r="D571" s="22" t="s">
        <v>2684</v>
      </c>
      <c r="E571" s="18" t="s">
        <v>42</v>
      </c>
      <c r="F571" s="21" t="s">
        <v>37</v>
      </c>
      <c r="G571" s="22" t="s">
        <v>920</v>
      </c>
      <c r="H571" s="22" t="s">
        <v>2685</v>
      </c>
      <c r="I571" s="22" t="s">
        <v>2686</v>
      </c>
      <c r="J571" s="18" t="s">
        <v>51</v>
      </c>
    </row>
    <row r="572" spans="1:10" ht="48.75" customHeight="1">
      <c r="A572" s="18" t="s">
        <v>2687</v>
      </c>
      <c r="B572" s="18" t="s">
        <v>359</v>
      </c>
      <c r="C572" s="19" t="s">
        <v>25</v>
      </c>
      <c r="D572" s="19" t="s">
        <v>2688</v>
      </c>
      <c r="E572" s="18" t="s">
        <v>46</v>
      </c>
      <c r="F572" s="18" t="s">
        <v>37</v>
      </c>
      <c r="G572" s="19" t="s">
        <v>823</v>
      </c>
      <c r="H572" s="19" t="s">
        <v>2689</v>
      </c>
      <c r="I572" s="19" t="s">
        <v>958</v>
      </c>
      <c r="J572" s="18" t="s">
        <v>51</v>
      </c>
    </row>
    <row r="573" spans="1:10" ht="48.75" customHeight="1">
      <c r="A573" s="21" t="s">
        <v>2690</v>
      </c>
      <c r="B573" s="21" t="s">
        <v>359</v>
      </c>
      <c r="C573" s="22" t="s">
        <v>25</v>
      </c>
      <c r="D573" s="22" t="s">
        <v>2691</v>
      </c>
      <c r="E573" s="18" t="s">
        <v>46</v>
      </c>
      <c r="F573" s="21" t="s">
        <v>37</v>
      </c>
      <c r="G573" s="22" t="s">
        <v>961</v>
      </c>
      <c r="H573" s="22" t="s">
        <v>2692</v>
      </c>
      <c r="I573" s="22" t="s">
        <v>958</v>
      </c>
      <c r="J573" s="18" t="s">
        <v>51</v>
      </c>
    </row>
    <row r="574" spans="1:10" ht="48.75" customHeight="1">
      <c r="A574" s="18" t="s">
        <v>2693</v>
      </c>
      <c r="B574" s="18" t="s">
        <v>359</v>
      </c>
      <c r="C574" s="19" t="s">
        <v>25</v>
      </c>
      <c r="D574" s="19" t="s">
        <v>2694</v>
      </c>
      <c r="E574" s="18" t="s">
        <v>46</v>
      </c>
      <c r="F574" s="18" t="s">
        <v>37</v>
      </c>
      <c r="G574" s="19" t="s">
        <v>828</v>
      </c>
      <c r="H574" s="19" t="s">
        <v>2695</v>
      </c>
      <c r="I574" s="19" t="s">
        <v>958</v>
      </c>
      <c r="J574" s="18" t="s">
        <v>51</v>
      </c>
    </row>
    <row r="575" spans="1:10" ht="78.75" customHeight="1">
      <c r="A575" s="21" t="s">
        <v>2696</v>
      </c>
      <c r="B575" s="21" t="s">
        <v>363</v>
      </c>
      <c r="C575" s="22" t="s">
        <v>25</v>
      </c>
      <c r="D575" s="22" t="s">
        <v>2697</v>
      </c>
      <c r="E575" s="18" t="s">
        <v>42</v>
      </c>
      <c r="F575" s="21" t="s">
        <v>37</v>
      </c>
      <c r="G575" s="22" t="s">
        <v>920</v>
      </c>
      <c r="H575" s="22" t="s">
        <v>2698</v>
      </c>
      <c r="I575" s="22" t="s">
        <v>2699</v>
      </c>
      <c r="J575" s="18" t="s">
        <v>51</v>
      </c>
    </row>
    <row r="576" spans="1:10" ht="78.75" customHeight="1">
      <c r="A576" s="18" t="s">
        <v>2700</v>
      </c>
      <c r="B576" s="18" t="s">
        <v>363</v>
      </c>
      <c r="C576" s="19" t="s">
        <v>25</v>
      </c>
      <c r="D576" s="19" t="s">
        <v>2701</v>
      </c>
      <c r="E576" s="18" t="s">
        <v>42</v>
      </c>
      <c r="F576" s="18" t="s">
        <v>37</v>
      </c>
      <c r="G576" s="19" t="s">
        <v>920</v>
      </c>
      <c r="H576" s="19" t="s">
        <v>2702</v>
      </c>
      <c r="I576" s="19" t="s">
        <v>2703</v>
      </c>
      <c r="J576" s="18" t="s">
        <v>51</v>
      </c>
    </row>
    <row r="577" spans="1:10" ht="78.75" customHeight="1">
      <c r="A577" s="21" t="s">
        <v>2704</v>
      </c>
      <c r="B577" s="21" t="s">
        <v>363</v>
      </c>
      <c r="C577" s="22" t="s">
        <v>25</v>
      </c>
      <c r="D577" s="22" t="s">
        <v>2705</v>
      </c>
      <c r="E577" s="18" t="s">
        <v>42</v>
      </c>
      <c r="F577" s="21" t="s">
        <v>37</v>
      </c>
      <c r="G577" s="22" t="s">
        <v>920</v>
      </c>
      <c r="H577" s="22" t="s">
        <v>2706</v>
      </c>
      <c r="I577" s="22" t="s">
        <v>2707</v>
      </c>
      <c r="J577" s="18" t="s">
        <v>51</v>
      </c>
    </row>
    <row r="578" spans="1:10" ht="48.75" customHeight="1">
      <c r="A578" s="18" t="s">
        <v>2708</v>
      </c>
      <c r="B578" s="18" t="s">
        <v>363</v>
      </c>
      <c r="C578" s="19" t="s">
        <v>25</v>
      </c>
      <c r="D578" s="19" t="s">
        <v>2709</v>
      </c>
      <c r="E578" s="18" t="s">
        <v>46</v>
      </c>
      <c r="F578" s="18" t="s">
        <v>37</v>
      </c>
      <c r="G578" s="19" t="s">
        <v>823</v>
      </c>
      <c r="H578" s="19" t="s">
        <v>2710</v>
      </c>
      <c r="I578" s="19" t="s">
        <v>958</v>
      </c>
      <c r="J578" s="18" t="s">
        <v>51</v>
      </c>
    </row>
    <row r="579" spans="1:10" ht="48.75" customHeight="1">
      <c r="A579" s="21" t="s">
        <v>2711</v>
      </c>
      <c r="B579" s="21" t="s">
        <v>363</v>
      </c>
      <c r="C579" s="22" t="s">
        <v>25</v>
      </c>
      <c r="D579" s="22" t="s">
        <v>2712</v>
      </c>
      <c r="E579" s="18" t="s">
        <v>46</v>
      </c>
      <c r="F579" s="21" t="s">
        <v>37</v>
      </c>
      <c r="G579" s="22" t="s">
        <v>961</v>
      </c>
      <c r="H579" s="22" t="s">
        <v>2713</v>
      </c>
      <c r="I579" s="22" t="s">
        <v>958</v>
      </c>
      <c r="J579" s="18" t="s">
        <v>51</v>
      </c>
    </row>
    <row r="580" spans="1:10" ht="48.75" customHeight="1">
      <c r="A580" s="18" t="s">
        <v>2714</v>
      </c>
      <c r="B580" s="18" t="s">
        <v>363</v>
      </c>
      <c r="C580" s="19" t="s">
        <v>25</v>
      </c>
      <c r="D580" s="19" t="s">
        <v>2715</v>
      </c>
      <c r="E580" s="18" t="s">
        <v>46</v>
      </c>
      <c r="F580" s="18" t="s">
        <v>37</v>
      </c>
      <c r="G580" s="19" t="s">
        <v>828</v>
      </c>
      <c r="H580" s="19" t="s">
        <v>2716</v>
      </c>
      <c r="I580" s="19" t="s">
        <v>958</v>
      </c>
      <c r="J580" s="18" t="s">
        <v>51</v>
      </c>
    </row>
    <row r="581" spans="1:10" ht="78.75" customHeight="1">
      <c r="A581" s="21" t="s">
        <v>2717</v>
      </c>
      <c r="B581" s="21" t="s">
        <v>367</v>
      </c>
      <c r="C581" s="22" t="s">
        <v>25</v>
      </c>
      <c r="D581" s="22" t="s">
        <v>2718</v>
      </c>
      <c r="E581" s="18" t="s">
        <v>42</v>
      </c>
      <c r="F581" s="21" t="s">
        <v>37</v>
      </c>
      <c r="G581" s="22" t="s">
        <v>920</v>
      </c>
      <c r="H581" s="22" t="s">
        <v>2719</v>
      </c>
      <c r="I581" s="22" t="s">
        <v>2720</v>
      </c>
      <c r="J581" s="18" t="s">
        <v>51</v>
      </c>
    </row>
    <row r="582" spans="1:10" ht="78.75" customHeight="1">
      <c r="A582" s="18" t="s">
        <v>2721</v>
      </c>
      <c r="B582" s="18" t="s">
        <v>367</v>
      </c>
      <c r="C582" s="19" t="s">
        <v>25</v>
      </c>
      <c r="D582" s="19" t="s">
        <v>2722</v>
      </c>
      <c r="E582" s="18" t="s">
        <v>42</v>
      </c>
      <c r="F582" s="18" t="s">
        <v>37</v>
      </c>
      <c r="G582" s="19" t="s">
        <v>920</v>
      </c>
      <c r="H582" s="19" t="s">
        <v>2723</v>
      </c>
      <c r="I582" s="19" t="s">
        <v>2724</v>
      </c>
      <c r="J582" s="18" t="s">
        <v>51</v>
      </c>
    </row>
    <row r="583" spans="1:10" ht="78.75" customHeight="1">
      <c r="A583" s="21" t="s">
        <v>2725</v>
      </c>
      <c r="B583" s="21" t="s">
        <v>367</v>
      </c>
      <c r="C583" s="22" t="s">
        <v>25</v>
      </c>
      <c r="D583" s="22" t="s">
        <v>2726</v>
      </c>
      <c r="E583" s="18" t="s">
        <v>42</v>
      </c>
      <c r="F583" s="21" t="s">
        <v>37</v>
      </c>
      <c r="G583" s="22" t="s">
        <v>920</v>
      </c>
      <c r="H583" s="22" t="s">
        <v>2727</v>
      </c>
      <c r="I583" s="22" t="s">
        <v>2728</v>
      </c>
      <c r="J583" s="18" t="s">
        <v>51</v>
      </c>
    </row>
    <row r="584" spans="1:10" ht="48.75" customHeight="1">
      <c r="A584" s="18" t="s">
        <v>2729</v>
      </c>
      <c r="B584" s="18" t="s">
        <v>367</v>
      </c>
      <c r="C584" s="19" t="s">
        <v>25</v>
      </c>
      <c r="D584" s="19" t="s">
        <v>2730</v>
      </c>
      <c r="E584" s="18" t="s">
        <v>46</v>
      </c>
      <c r="F584" s="18" t="s">
        <v>37</v>
      </c>
      <c r="G584" s="19" t="s">
        <v>823</v>
      </c>
      <c r="H584" s="19" t="s">
        <v>2731</v>
      </c>
      <c r="I584" s="19" t="s">
        <v>958</v>
      </c>
      <c r="J584" s="18" t="s">
        <v>51</v>
      </c>
    </row>
    <row r="585" spans="1:10" ht="48.75" customHeight="1">
      <c r="A585" s="21" t="s">
        <v>2732</v>
      </c>
      <c r="B585" s="21" t="s">
        <v>367</v>
      </c>
      <c r="C585" s="22" t="s">
        <v>25</v>
      </c>
      <c r="D585" s="22" t="s">
        <v>2733</v>
      </c>
      <c r="E585" s="18" t="s">
        <v>46</v>
      </c>
      <c r="F585" s="21" t="s">
        <v>37</v>
      </c>
      <c r="G585" s="22" t="s">
        <v>961</v>
      </c>
      <c r="H585" s="22" t="s">
        <v>2734</v>
      </c>
      <c r="I585" s="22" t="s">
        <v>958</v>
      </c>
      <c r="J585" s="18" t="s">
        <v>51</v>
      </c>
    </row>
    <row r="586" spans="1:10" ht="48.75" customHeight="1">
      <c r="A586" s="18" t="s">
        <v>2735</v>
      </c>
      <c r="B586" s="18" t="s">
        <v>367</v>
      </c>
      <c r="C586" s="19" t="s">
        <v>25</v>
      </c>
      <c r="D586" s="19" t="s">
        <v>2736</v>
      </c>
      <c r="E586" s="18" t="s">
        <v>46</v>
      </c>
      <c r="F586" s="18" t="s">
        <v>37</v>
      </c>
      <c r="G586" s="19" t="s">
        <v>828</v>
      </c>
      <c r="H586" s="19" t="s">
        <v>2737</v>
      </c>
      <c r="I586" s="19" t="s">
        <v>958</v>
      </c>
      <c r="J586" s="18" t="s">
        <v>51</v>
      </c>
    </row>
    <row r="587" spans="1:10" ht="78.75" customHeight="1">
      <c r="A587" s="21" t="s">
        <v>2738</v>
      </c>
      <c r="B587" s="21" t="s">
        <v>371</v>
      </c>
      <c r="C587" s="22" t="s">
        <v>25</v>
      </c>
      <c r="D587" s="22" t="s">
        <v>2739</v>
      </c>
      <c r="E587" s="18" t="s">
        <v>42</v>
      </c>
      <c r="F587" s="21" t="s">
        <v>35</v>
      </c>
      <c r="G587" s="22" t="s">
        <v>920</v>
      </c>
      <c r="H587" s="22" t="s">
        <v>2740</v>
      </c>
      <c r="I587" s="22" t="s">
        <v>2741</v>
      </c>
      <c r="J587" s="18" t="s">
        <v>51</v>
      </c>
    </row>
    <row r="588" spans="1:10" ht="78.75" customHeight="1">
      <c r="A588" s="18" t="s">
        <v>2742</v>
      </c>
      <c r="B588" s="18" t="s">
        <v>371</v>
      </c>
      <c r="C588" s="19" t="s">
        <v>25</v>
      </c>
      <c r="D588" s="19" t="s">
        <v>2743</v>
      </c>
      <c r="E588" s="18" t="s">
        <v>42</v>
      </c>
      <c r="F588" s="18" t="s">
        <v>35</v>
      </c>
      <c r="G588" s="19" t="s">
        <v>920</v>
      </c>
      <c r="H588" s="19" t="s">
        <v>2245</v>
      </c>
      <c r="I588" s="19" t="s">
        <v>2246</v>
      </c>
      <c r="J588" s="18" t="s">
        <v>51</v>
      </c>
    </row>
    <row r="589" spans="1:10" ht="78.75" customHeight="1">
      <c r="A589" s="21" t="s">
        <v>2744</v>
      </c>
      <c r="B589" s="21" t="s">
        <v>371</v>
      </c>
      <c r="C589" s="22" t="s">
        <v>25</v>
      </c>
      <c r="D589" s="22" t="s">
        <v>2745</v>
      </c>
      <c r="E589" s="18" t="s">
        <v>42</v>
      </c>
      <c r="F589" s="21" t="s">
        <v>35</v>
      </c>
      <c r="G589" s="22" t="s">
        <v>920</v>
      </c>
      <c r="H589" s="22" t="s">
        <v>2746</v>
      </c>
      <c r="I589" s="22" t="s">
        <v>2747</v>
      </c>
      <c r="J589" s="18" t="s">
        <v>51</v>
      </c>
    </row>
    <row r="590" spans="1:10" ht="78.75" customHeight="1">
      <c r="A590" s="18" t="s">
        <v>2748</v>
      </c>
      <c r="B590" s="18" t="s">
        <v>371</v>
      </c>
      <c r="C590" s="19" t="s">
        <v>25</v>
      </c>
      <c r="D590" s="19" t="s">
        <v>2749</v>
      </c>
      <c r="E590" s="18" t="s">
        <v>42</v>
      </c>
      <c r="F590" s="18" t="s">
        <v>35</v>
      </c>
      <c r="G590" s="19" t="s">
        <v>920</v>
      </c>
      <c r="H590" s="19" t="s">
        <v>2750</v>
      </c>
      <c r="I590" s="19" t="s">
        <v>2751</v>
      </c>
      <c r="J590" s="18" t="s">
        <v>51</v>
      </c>
    </row>
    <row r="591" spans="1:10" ht="48.75" customHeight="1">
      <c r="A591" s="21" t="s">
        <v>2752</v>
      </c>
      <c r="B591" s="21" t="s">
        <v>371</v>
      </c>
      <c r="C591" s="22" t="s">
        <v>25</v>
      </c>
      <c r="D591" s="22" t="s">
        <v>2753</v>
      </c>
      <c r="E591" s="18" t="s">
        <v>46</v>
      </c>
      <c r="F591" s="21" t="s">
        <v>35</v>
      </c>
      <c r="G591" s="22" t="s">
        <v>823</v>
      </c>
      <c r="H591" s="22" t="s">
        <v>2754</v>
      </c>
      <c r="I591" s="22" t="s">
        <v>958</v>
      </c>
      <c r="J591" s="18" t="s">
        <v>51</v>
      </c>
    </row>
    <row r="592" spans="1:10" ht="48.75" customHeight="1">
      <c r="A592" s="18" t="s">
        <v>2755</v>
      </c>
      <c r="B592" s="18" t="s">
        <v>371</v>
      </c>
      <c r="C592" s="19" t="s">
        <v>25</v>
      </c>
      <c r="D592" s="19" t="s">
        <v>2756</v>
      </c>
      <c r="E592" s="18" t="s">
        <v>46</v>
      </c>
      <c r="F592" s="18" t="s">
        <v>35</v>
      </c>
      <c r="G592" s="19" t="s">
        <v>961</v>
      </c>
      <c r="H592" s="19" t="s">
        <v>2757</v>
      </c>
      <c r="I592" s="19" t="s">
        <v>958</v>
      </c>
      <c r="J592" s="18" t="s">
        <v>51</v>
      </c>
    </row>
    <row r="593" spans="1:10" ht="48.75" customHeight="1">
      <c r="A593" s="21" t="s">
        <v>2758</v>
      </c>
      <c r="B593" s="21" t="s">
        <v>371</v>
      </c>
      <c r="C593" s="22" t="s">
        <v>25</v>
      </c>
      <c r="D593" s="22" t="s">
        <v>2759</v>
      </c>
      <c r="E593" s="18" t="s">
        <v>46</v>
      </c>
      <c r="F593" s="21" t="s">
        <v>35</v>
      </c>
      <c r="G593" s="22" t="s">
        <v>828</v>
      </c>
      <c r="H593" s="22" t="s">
        <v>2760</v>
      </c>
      <c r="I593" s="22" t="s">
        <v>958</v>
      </c>
      <c r="J593" s="18" t="s">
        <v>51</v>
      </c>
    </row>
    <row r="594" spans="1:10" ht="93.75" customHeight="1">
      <c r="A594" s="18" t="s">
        <v>2761</v>
      </c>
      <c r="B594" s="18" t="s">
        <v>371</v>
      </c>
      <c r="C594" s="19" t="s">
        <v>25</v>
      </c>
      <c r="D594" s="19" t="s">
        <v>2762</v>
      </c>
      <c r="E594" s="18" t="s">
        <v>44</v>
      </c>
      <c r="F594" s="18" t="s">
        <v>35</v>
      </c>
      <c r="G594" s="19" t="s">
        <v>920</v>
      </c>
      <c r="H594" s="19" t="s">
        <v>1122</v>
      </c>
      <c r="I594" s="19" t="s">
        <v>833</v>
      </c>
      <c r="J594" s="18" t="s">
        <v>51</v>
      </c>
    </row>
    <row r="595" spans="1:10" ht="78.75" customHeight="1">
      <c r="A595" s="21" t="s">
        <v>2763</v>
      </c>
      <c r="B595" s="21" t="s">
        <v>376</v>
      </c>
      <c r="C595" s="22" t="s">
        <v>25</v>
      </c>
      <c r="D595" s="22" t="s">
        <v>2764</v>
      </c>
      <c r="E595" s="18" t="s">
        <v>42</v>
      </c>
      <c r="F595" s="21" t="s">
        <v>33</v>
      </c>
      <c r="G595" s="22" t="s">
        <v>920</v>
      </c>
      <c r="H595" s="22" t="s">
        <v>2765</v>
      </c>
      <c r="I595" s="22" t="s">
        <v>2766</v>
      </c>
      <c r="J595" s="18" t="s">
        <v>51</v>
      </c>
    </row>
    <row r="596" spans="1:10" ht="78.75" customHeight="1">
      <c r="A596" s="18" t="s">
        <v>2767</v>
      </c>
      <c r="B596" s="18" t="s">
        <v>376</v>
      </c>
      <c r="C596" s="19" t="s">
        <v>25</v>
      </c>
      <c r="D596" s="19" t="s">
        <v>2768</v>
      </c>
      <c r="E596" s="18" t="s">
        <v>42</v>
      </c>
      <c r="F596" s="18" t="s">
        <v>33</v>
      </c>
      <c r="G596" s="19" t="s">
        <v>920</v>
      </c>
      <c r="H596" s="19" t="s">
        <v>2769</v>
      </c>
      <c r="I596" s="19" t="s">
        <v>2770</v>
      </c>
      <c r="J596" s="18" t="s">
        <v>51</v>
      </c>
    </row>
    <row r="597" spans="1:10" ht="78.75" customHeight="1">
      <c r="A597" s="21" t="s">
        <v>2771</v>
      </c>
      <c r="B597" s="21" t="s">
        <v>376</v>
      </c>
      <c r="C597" s="22" t="s">
        <v>25</v>
      </c>
      <c r="D597" s="22" t="s">
        <v>2772</v>
      </c>
      <c r="E597" s="18" t="s">
        <v>42</v>
      </c>
      <c r="F597" s="21" t="s">
        <v>33</v>
      </c>
      <c r="G597" s="22" t="s">
        <v>920</v>
      </c>
      <c r="H597" s="22" t="s">
        <v>2773</v>
      </c>
      <c r="I597" s="22" t="s">
        <v>2774</v>
      </c>
      <c r="J597" s="18" t="s">
        <v>51</v>
      </c>
    </row>
    <row r="598" spans="1:10" ht="78.75" customHeight="1">
      <c r="A598" s="18" t="s">
        <v>2775</v>
      </c>
      <c r="B598" s="18" t="s">
        <v>376</v>
      </c>
      <c r="C598" s="19" t="s">
        <v>25</v>
      </c>
      <c r="D598" s="19" t="s">
        <v>2776</v>
      </c>
      <c r="E598" s="18" t="s">
        <v>42</v>
      </c>
      <c r="F598" s="18" t="s">
        <v>33</v>
      </c>
      <c r="G598" s="19" t="s">
        <v>920</v>
      </c>
      <c r="H598" s="19" t="s">
        <v>2777</v>
      </c>
      <c r="I598" s="19" t="s">
        <v>2778</v>
      </c>
      <c r="J598" s="18" t="s">
        <v>51</v>
      </c>
    </row>
    <row r="599" spans="1:10" ht="48.75" customHeight="1">
      <c r="A599" s="21" t="s">
        <v>2779</v>
      </c>
      <c r="B599" s="21" t="s">
        <v>376</v>
      </c>
      <c r="C599" s="22" t="s">
        <v>25</v>
      </c>
      <c r="D599" s="22" t="s">
        <v>2780</v>
      </c>
      <c r="E599" s="18" t="s">
        <v>46</v>
      </c>
      <c r="F599" s="21" t="s">
        <v>33</v>
      </c>
      <c r="G599" s="22" t="s">
        <v>823</v>
      </c>
      <c r="H599" s="22" t="s">
        <v>2781</v>
      </c>
      <c r="I599" s="22" t="s">
        <v>958</v>
      </c>
      <c r="J599" s="18" t="s">
        <v>51</v>
      </c>
    </row>
    <row r="600" spans="1:10" ht="48.75" customHeight="1">
      <c r="A600" s="18" t="s">
        <v>2782</v>
      </c>
      <c r="B600" s="18" t="s">
        <v>376</v>
      </c>
      <c r="C600" s="19" t="s">
        <v>25</v>
      </c>
      <c r="D600" s="19" t="s">
        <v>2783</v>
      </c>
      <c r="E600" s="18" t="s">
        <v>46</v>
      </c>
      <c r="F600" s="18" t="s">
        <v>33</v>
      </c>
      <c r="G600" s="19" t="s">
        <v>961</v>
      </c>
      <c r="H600" s="19" t="s">
        <v>2784</v>
      </c>
      <c r="I600" s="19" t="s">
        <v>958</v>
      </c>
      <c r="J600" s="18" t="s">
        <v>51</v>
      </c>
    </row>
    <row r="601" spans="1:10" ht="48.75" customHeight="1">
      <c r="A601" s="21" t="s">
        <v>2785</v>
      </c>
      <c r="B601" s="21" t="s">
        <v>376</v>
      </c>
      <c r="C601" s="22" t="s">
        <v>25</v>
      </c>
      <c r="D601" s="22" t="s">
        <v>2786</v>
      </c>
      <c r="E601" s="18" t="s">
        <v>46</v>
      </c>
      <c r="F601" s="21" t="s">
        <v>33</v>
      </c>
      <c r="G601" s="22" t="s">
        <v>828</v>
      </c>
      <c r="H601" s="22" t="s">
        <v>2787</v>
      </c>
      <c r="I601" s="22" t="s">
        <v>958</v>
      </c>
      <c r="J601" s="18" t="s">
        <v>51</v>
      </c>
    </row>
    <row r="602" spans="1:10" ht="78.75" customHeight="1">
      <c r="A602" s="18" t="s">
        <v>2788</v>
      </c>
      <c r="B602" s="18" t="s">
        <v>380</v>
      </c>
      <c r="C602" s="19" t="s">
        <v>25</v>
      </c>
      <c r="D602" s="19" t="s">
        <v>2789</v>
      </c>
      <c r="E602" s="18" t="s">
        <v>42</v>
      </c>
      <c r="F602" s="18" t="s">
        <v>33</v>
      </c>
      <c r="G602" s="19" t="s">
        <v>920</v>
      </c>
      <c r="H602" s="19" t="s">
        <v>2790</v>
      </c>
      <c r="I602" s="19" t="s">
        <v>2791</v>
      </c>
      <c r="J602" s="18" t="s">
        <v>51</v>
      </c>
    </row>
    <row r="603" spans="1:10" ht="78.75" customHeight="1">
      <c r="A603" s="21" t="s">
        <v>2792</v>
      </c>
      <c r="B603" s="21" t="s">
        <v>380</v>
      </c>
      <c r="C603" s="22" t="s">
        <v>25</v>
      </c>
      <c r="D603" s="22" t="s">
        <v>2793</v>
      </c>
      <c r="E603" s="18" t="s">
        <v>42</v>
      </c>
      <c r="F603" s="21" t="s">
        <v>33</v>
      </c>
      <c r="G603" s="22" t="s">
        <v>920</v>
      </c>
      <c r="H603" s="22" t="s">
        <v>2794</v>
      </c>
      <c r="I603" s="22" t="s">
        <v>2795</v>
      </c>
      <c r="J603" s="18" t="s">
        <v>51</v>
      </c>
    </row>
    <row r="604" spans="1:10" ht="78.75" customHeight="1">
      <c r="A604" s="18" t="s">
        <v>2796</v>
      </c>
      <c r="B604" s="18" t="s">
        <v>380</v>
      </c>
      <c r="C604" s="19" t="s">
        <v>25</v>
      </c>
      <c r="D604" s="19" t="s">
        <v>2797</v>
      </c>
      <c r="E604" s="18" t="s">
        <v>42</v>
      </c>
      <c r="F604" s="18" t="s">
        <v>33</v>
      </c>
      <c r="G604" s="19" t="s">
        <v>920</v>
      </c>
      <c r="H604" s="19" t="s">
        <v>2798</v>
      </c>
      <c r="I604" s="19" t="s">
        <v>2799</v>
      </c>
      <c r="J604" s="18" t="s">
        <v>51</v>
      </c>
    </row>
    <row r="605" spans="1:10" ht="78.75" customHeight="1">
      <c r="A605" s="21" t="s">
        <v>2800</v>
      </c>
      <c r="B605" s="21" t="s">
        <v>380</v>
      </c>
      <c r="C605" s="22" t="s">
        <v>25</v>
      </c>
      <c r="D605" s="22" t="s">
        <v>2801</v>
      </c>
      <c r="E605" s="18" t="s">
        <v>42</v>
      </c>
      <c r="F605" s="21" t="s">
        <v>33</v>
      </c>
      <c r="G605" s="22" t="s">
        <v>920</v>
      </c>
      <c r="H605" s="22" t="s">
        <v>2802</v>
      </c>
      <c r="I605" s="22" t="s">
        <v>2803</v>
      </c>
      <c r="J605" s="18" t="s">
        <v>51</v>
      </c>
    </row>
    <row r="606" spans="1:10" ht="78.75" customHeight="1">
      <c r="A606" s="18" t="s">
        <v>2804</v>
      </c>
      <c r="B606" s="18" t="s">
        <v>380</v>
      </c>
      <c r="C606" s="19" t="s">
        <v>25</v>
      </c>
      <c r="D606" s="19" t="s">
        <v>2805</v>
      </c>
      <c r="E606" s="18" t="s">
        <v>42</v>
      </c>
      <c r="F606" s="18" t="s">
        <v>33</v>
      </c>
      <c r="G606" s="19" t="s">
        <v>920</v>
      </c>
      <c r="H606" s="19" t="s">
        <v>2806</v>
      </c>
      <c r="I606" s="19" t="s">
        <v>2297</v>
      </c>
      <c r="J606" s="18" t="s">
        <v>51</v>
      </c>
    </row>
    <row r="607" spans="1:10" ht="78.75" customHeight="1">
      <c r="A607" s="21" t="s">
        <v>2807</v>
      </c>
      <c r="B607" s="21" t="s">
        <v>380</v>
      </c>
      <c r="C607" s="22" t="s">
        <v>25</v>
      </c>
      <c r="D607" s="22" t="s">
        <v>2808</v>
      </c>
      <c r="E607" s="18" t="s">
        <v>42</v>
      </c>
      <c r="F607" s="21" t="s">
        <v>33</v>
      </c>
      <c r="G607" s="22" t="s">
        <v>920</v>
      </c>
      <c r="H607" s="22" t="s">
        <v>2809</v>
      </c>
      <c r="I607" s="22" t="s">
        <v>808</v>
      </c>
      <c r="J607" s="18" t="s">
        <v>51</v>
      </c>
    </row>
    <row r="608" spans="1:10" ht="48.75" customHeight="1">
      <c r="A608" s="18" t="s">
        <v>2810</v>
      </c>
      <c r="B608" s="18" t="s">
        <v>380</v>
      </c>
      <c r="C608" s="19" t="s">
        <v>25</v>
      </c>
      <c r="D608" s="19" t="s">
        <v>2811</v>
      </c>
      <c r="E608" s="18" t="s">
        <v>46</v>
      </c>
      <c r="F608" s="18" t="s">
        <v>33</v>
      </c>
      <c r="G608" s="19" t="s">
        <v>920</v>
      </c>
      <c r="H608" s="19" t="s">
        <v>2812</v>
      </c>
      <c r="I608" s="19" t="s">
        <v>812</v>
      </c>
      <c r="J608" s="18" t="s">
        <v>51</v>
      </c>
    </row>
    <row r="609" spans="1:10" ht="93.75" customHeight="1">
      <c r="A609" s="21" t="s">
        <v>2813</v>
      </c>
      <c r="B609" s="21" t="s">
        <v>380</v>
      </c>
      <c r="C609" s="22" t="s">
        <v>25</v>
      </c>
      <c r="D609" s="22" t="s">
        <v>2814</v>
      </c>
      <c r="E609" s="18" t="s">
        <v>44</v>
      </c>
      <c r="F609" s="21" t="s">
        <v>33</v>
      </c>
      <c r="G609" s="22" t="s">
        <v>920</v>
      </c>
      <c r="H609" s="22" t="s">
        <v>2815</v>
      </c>
      <c r="I609" s="22" t="s">
        <v>816</v>
      </c>
      <c r="J609" s="18" t="s">
        <v>51</v>
      </c>
    </row>
    <row r="610" spans="1:10" ht="78.75" customHeight="1">
      <c r="A610" s="18" t="s">
        <v>2816</v>
      </c>
      <c r="B610" s="18" t="s">
        <v>380</v>
      </c>
      <c r="C610" s="19" t="s">
        <v>25</v>
      </c>
      <c r="D610" s="19" t="s">
        <v>2817</v>
      </c>
      <c r="E610" s="18" t="s">
        <v>44</v>
      </c>
      <c r="F610" s="18" t="s">
        <v>33</v>
      </c>
      <c r="G610" s="19" t="s">
        <v>920</v>
      </c>
      <c r="H610" s="19" t="s">
        <v>2818</v>
      </c>
      <c r="I610" s="19" t="s">
        <v>820</v>
      </c>
      <c r="J610" s="18" t="s">
        <v>51</v>
      </c>
    </row>
    <row r="611" spans="1:10" ht="48.75" customHeight="1">
      <c r="A611" s="21" t="s">
        <v>2819</v>
      </c>
      <c r="B611" s="21" t="s">
        <v>380</v>
      </c>
      <c r="C611" s="22" t="s">
        <v>25</v>
      </c>
      <c r="D611" s="22" t="s">
        <v>2820</v>
      </c>
      <c r="E611" s="18" t="s">
        <v>46</v>
      </c>
      <c r="F611" s="21" t="s">
        <v>33</v>
      </c>
      <c r="G611" s="22" t="s">
        <v>823</v>
      </c>
      <c r="H611" s="22" t="s">
        <v>2821</v>
      </c>
      <c r="I611" s="22" t="s">
        <v>958</v>
      </c>
      <c r="J611" s="18" t="s">
        <v>51</v>
      </c>
    </row>
    <row r="612" spans="1:10" ht="48.75" customHeight="1">
      <c r="A612" s="18" t="s">
        <v>2822</v>
      </c>
      <c r="B612" s="18" t="s">
        <v>380</v>
      </c>
      <c r="C612" s="19" t="s">
        <v>25</v>
      </c>
      <c r="D612" s="19" t="s">
        <v>2823</v>
      </c>
      <c r="E612" s="18" t="s">
        <v>46</v>
      </c>
      <c r="F612" s="18" t="s">
        <v>33</v>
      </c>
      <c r="G612" s="19" t="s">
        <v>961</v>
      </c>
      <c r="H612" s="19" t="s">
        <v>2824</v>
      </c>
      <c r="I612" s="19" t="s">
        <v>958</v>
      </c>
      <c r="J612" s="18" t="s">
        <v>51</v>
      </c>
    </row>
    <row r="613" spans="1:10" ht="48.75" customHeight="1">
      <c r="A613" s="21" t="s">
        <v>2825</v>
      </c>
      <c r="B613" s="21" t="s">
        <v>380</v>
      </c>
      <c r="C613" s="22" t="s">
        <v>25</v>
      </c>
      <c r="D613" s="22" t="s">
        <v>2826</v>
      </c>
      <c r="E613" s="18" t="s">
        <v>46</v>
      </c>
      <c r="F613" s="21" t="s">
        <v>33</v>
      </c>
      <c r="G613" s="22" t="s">
        <v>828</v>
      </c>
      <c r="H613" s="22" t="s">
        <v>2827</v>
      </c>
      <c r="I613" s="22" t="s">
        <v>958</v>
      </c>
      <c r="J613" s="18" t="s">
        <v>51</v>
      </c>
    </row>
    <row r="614" spans="1:10" ht="93.75" customHeight="1">
      <c r="A614" s="18" t="s">
        <v>2828</v>
      </c>
      <c r="B614" s="18" t="s">
        <v>385</v>
      </c>
      <c r="C614" s="19" t="s">
        <v>27</v>
      </c>
      <c r="D614" s="19" t="s">
        <v>2829</v>
      </c>
      <c r="E614" s="18" t="s">
        <v>42</v>
      </c>
      <c r="F614" s="18" t="s">
        <v>33</v>
      </c>
      <c r="G614" s="19" t="s">
        <v>2830</v>
      </c>
      <c r="H614" s="19" t="s">
        <v>2831</v>
      </c>
      <c r="I614" s="19" t="s">
        <v>2832</v>
      </c>
      <c r="J614" s="18" t="s">
        <v>51</v>
      </c>
    </row>
    <row r="615" spans="1:10" ht="93.75" customHeight="1">
      <c r="A615" s="21" t="s">
        <v>2833</v>
      </c>
      <c r="B615" s="21" t="s">
        <v>385</v>
      </c>
      <c r="C615" s="22" t="s">
        <v>27</v>
      </c>
      <c r="D615" s="22" t="s">
        <v>2834</v>
      </c>
      <c r="E615" s="18" t="s">
        <v>42</v>
      </c>
      <c r="F615" s="21" t="s">
        <v>33</v>
      </c>
      <c r="G615" s="22" t="s">
        <v>2830</v>
      </c>
      <c r="H615" s="22" t="s">
        <v>2835</v>
      </c>
      <c r="I615" s="22" t="s">
        <v>2836</v>
      </c>
      <c r="J615" s="18" t="s">
        <v>51</v>
      </c>
    </row>
    <row r="616" spans="1:10" ht="93.75" customHeight="1">
      <c r="A616" s="18" t="s">
        <v>2837</v>
      </c>
      <c r="B616" s="18" t="s">
        <v>385</v>
      </c>
      <c r="C616" s="19" t="s">
        <v>27</v>
      </c>
      <c r="D616" s="19" t="s">
        <v>2838</v>
      </c>
      <c r="E616" s="18" t="s">
        <v>42</v>
      </c>
      <c r="F616" s="18" t="s">
        <v>33</v>
      </c>
      <c r="G616" s="19" t="s">
        <v>2830</v>
      </c>
      <c r="H616" s="19" t="s">
        <v>2839</v>
      </c>
      <c r="I616" s="19" t="s">
        <v>2724</v>
      </c>
      <c r="J616" s="18" t="s">
        <v>51</v>
      </c>
    </row>
    <row r="617" spans="1:10" ht="93.75" customHeight="1">
      <c r="A617" s="21" t="s">
        <v>2840</v>
      </c>
      <c r="B617" s="21" t="s">
        <v>385</v>
      </c>
      <c r="C617" s="22" t="s">
        <v>27</v>
      </c>
      <c r="D617" s="22" t="s">
        <v>2841</v>
      </c>
      <c r="E617" s="18" t="s">
        <v>42</v>
      </c>
      <c r="F617" s="21" t="s">
        <v>33</v>
      </c>
      <c r="G617" s="22" t="s">
        <v>2830</v>
      </c>
      <c r="H617" s="22" t="s">
        <v>2842</v>
      </c>
      <c r="I617" s="22" t="s">
        <v>2843</v>
      </c>
      <c r="J617" s="18" t="s">
        <v>51</v>
      </c>
    </row>
    <row r="618" spans="1:10" ht="93.75" customHeight="1">
      <c r="A618" s="18" t="s">
        <v>2844</v>
      </c>
      <c r="B618" s="18" t="s">
        <v>385</v>
      </c>
      <c r="C618" s="19" t="s">
        <v>27</v>
      </c>
      <c r="D618" s="19" t="s">
        <v>2845</v>
      </c>
      <c r="E618" s="18" t="s">
        <v>42</v>
      </c>
      <c r="F618" s="18" t="s">
        <v>33</v>
      </c>
      <c r="G618" s="19" t="s">
        <v>2830</v>
      </c>
      <c r="H618" s="19" t="s">
        <v>2846</v>
      </c>
      <c r="I618" s="19" t="s">
        <v>2847</v>
      </c>
      <c r="J618" s="18" t="s">
        <v>51</v>
      </c>
    </row>
    <row r="619" spans="1:10" ht="78.75" customHeight="1">
      <c r="A619" s="21" t="s">
        <v>2848</v>
      </c>
      <c r="B619" s="21" t="s">
        <v>385</v>
      </c>
      <c r="C619" s="22" t="s">
        <v>27</v>
      </c>
      <c r="D619" s="22" t="s">
        <v>2849</v>
      </c>
      <c r="E619" s="18" t="s">
        <v>44</v>
      </c>
      <c r="F619" s="21" t="s">
        <v>33</v>
      </c>
      <c r="G619" s="22" t="s">
        <v>2830</v>
      </c>
      <c r="H619" s="22" t="s">
        <v>2850</v>
      </c>
      <c r="I619" s="22" t="s">
        <v>2851</v>
      </c>
      <c r="J619" s="18" t="s">
        <v>51</v>
      </c>
    </row>
    <row r="620" spans="1:10" ht="93.75" customHeight="1">
      <c r="A620" s="18" t="s">
        <v>2852</v>
      </c>
      <c r="B620" s="18" t="s">
        <v>385</v>
      </c>
      <c r="C620" s="19" t="s">
        <v>27</v>
      </c>
      <c r="D620" s="19" t="s">
        <v>2853</v>
      </c>
      <c r="E620" s="18" t="s">
        <v>44</v>
      </c>
      <c r="F620" s="18" t="s">
        <v>33</v>
      </c>
      <c r="G620" s="19" t="s">
        <v>2830</v>
      </c>
      <c r="H620" s="19" t="s">
        <v>2854</v>
      </c>
      <c r="I620" s="19" t="s">
        <v>2855</v>
      </c>
      <c r="J620" s="18" t="s">
        <v>51</v>
      </c>
    </row>
    <row r="621" spans="1:10" ht="63.75" customHeight="1">
      <c r="A621" s="21" t="s">
        <v>2856</v>
      </c>
      <c r="B621" s="21" t="s">
        <v>385</v>
      </c>
      <c r="C621" s="22" t="s">
        <v>27</v>
      </c>
      <c r="D621" s="22" t="s">
        <v>2857</v>
      </c>
      <c r="E621" s="18" t="s">
        <v>44</v>
      </c>
      <c r="F621" s="21" t="s">
        <v>33</v>
      </c>
      <c r="G621" s="22" t="s">
        <v>2830</v>
      </c>
      <c r="H621" s="22" t="s">
        <v>2858</v>
      </c>
      <c r="I621" s="22" t="s">
        <v>2859</v>
      </c>
      <c r="J621" s="18" t="s">
        <v>51</v>
      </c>
    </row>
    <row r="622" spans="1:10" ht="63.75" customHeight="1">
      <c r="A622" s="18" t="s">
        <v>2860</v>
      </c>
      <c r="B622" s="18" t="s">
        <v>385</v>
      </c>
      <c r="C622" s="19" t="s">
        <v>27</v>
      </c>
      <c r="D622" s="19" t="s">
        <v>2861</v>
      </c>
      <c r="E622" s="18" t="s">
        <v>44</v>
      </c>
      <c r="F622" s="18" t="s">
        <v>33</v>
      </c>
      <c r="G622" s="19" t="s">
        <v>2830</v>
      </c>
      <c r="H622" s="19" t="s">
        <v>2862</v>
      </c>
      <c r="I622" s="19" t="s">
        <v>2863</v>
      </c>
      <c r="J622" s="18" t="s">
        <v>51</v>
      </c>
    </row>
    <row r="623" spans="1:10" ht="63.75" customHeight="1">
      <c r="A623" s="21" t="s">
        <v>2864</v>
      </c>
      <c r="B623" s="21" t="s">
        <v>385</v>
      </c>
      <c r="C623" s="22" t="s">
        <v>27</v>
      </c>
      <c r="D623" s="22" t="s">
        <v>2865</v>
      </c>
      <c r="E623" s="18" t="s">
        <v>44</v>
      </c>
      <c r="F623" s="21" t="s">
        <v>33</v>
      </c>
      <c r="G623" s="22" t="s">
        <v>2830</v>
      </c>
      <c r="H623" s="22" t="s">
        <v>2866</v>
      </c>
      <c r="I623" s="22" t="s">
        <v>2867</v>
      </c>
      <c r="J623" s="18" t="s">
        <v>51</v>
      </c>
    </row>
    <row r="624" spans="1:10" ht="63.75" customHeight="1">
      <c r="A624" s="18" t="s">
        <v>2868</v>
      </c>
      <c r="B624" s="18" t="s">
        <v>385</v>
      </c>
      <c r="C624" s="19" t="s">
        <v>27</v>
      </c>
      <c r="D624" s="19" t="s">
        <v>2869</v>
      </c>
      <c r="E624" s="18" t="s">
        <v>44</v>
      </c>
      <c r="F624" s="18" t="s">
        <v>33</v>
      </c>
      <c r="G624" s="19" t="s">
        <v>2830</v>
      </c>
      <c r="H624" s="19" t="s">
        <v>2870</v>
      </c>
      <c r="I624" s="19" t="s">
        <v>2871</v>
      </c>
      <c r="J624" s="18" t="s">
        <v>51</v>
      </c>
    </row>
    <row r="625" spans="1:10" ht="63.75" customHeight="1">
      <c r="A625" s="21" t="s">
        <v>2872</v>
      </c>
      <c r="B625" s="21" t="s">
        <v>385</v>
      </c>
      <c r="C625" s="22" t="s">
        <v>27</v>
      </c>
      <c r="D625" s="22" t="s">
        <v>2873</v>
      </c>
      <c r="E625" s="18" t="s">
        <v>44</v>
      </c>
      <c r="F625" s="21" t="s">
        <v>33</v>
      </c>
      <c r="G625" s="22" t="s">
        <v>2830</v>
      </c>
      <c r="H625" s="22" t="s">
        <v>2874</v>
      </c>
      <c r="I625" s="22" t="s">
        <v>2875</v>
      </c>
      <c r="J625" s="18" t="s">
        <v>51</v>
      </c>
    </row>
    <row r="626" spans="1:10" ht="78.75" customHeight="1">
      <c r="A626" s="18" t="s">
        <v>2876</v>
      </c>
      <c r="B626" s="18" t="s">
        <v>385</v>
      </c>
      <c r="C626" s="19" t="s">
        <v>27</v>
      </c>
      <c r="D626" s="19" t="s">
        <v>2877</v>
      </c>
      <c r="E626" s="18" t="s">
        <v>42</v>
      </c>
      <c r="F626" s="18" t="s">
        <v>33</v>
      </c>
      <c r="G626" s="19" t="s">
        <v>2830</v>
      </c>
      <c r="H626" s="19" t="s">
        <v>2878</v>
      </c>
      <c r="I626" s="19" t="s">
        <v>808</v>
      </c>
      <c r="J626" s="18" t="s">
        <v>51</v>
      </c>
    </row>
    <row r="627" spans="1:10" ht="48.75" customHeight="1">
      <c r="A627" s="21" t="s">
        <v>2879</v>
      </c>
      <c r="B627" s="21" t="s">
        <v>385</v>
      </c>
      <c r="C627" s="22" t="s">
        <v>27</v>
      </c>
      <c r="D627" s="22" t="s">
        <v>2880</v>
      </c>
      <c r="E627" s="18" t="s">
        <v>46</v>
      </c>
      <c r="F627" s="21" t="s">
        <v>33</v>
      </c>
      <c r="G627" s="22" t="s">
        <v>2830</v>
      </c>
      <c r="H627" s="22" t="s">
        <v>2881</v>
      </c>
      <c r="I627" s="22" t="s">
        <v>812</v>
      </c>
      <c r="J627" s="18" t="s">
        <v>51</v>
      </c>
    </row>
    <row r="628" spans="1:10" ht="93.75" customHeight="1">
      <c r="A628" s="18" t="s">
        <v>2882</v>
      </c>
      <c r="B628" s="18" t="s">
        <v>385</v>
      </c>
      <c r="C628" s="19" t="s">
        <v>27</v>
      </c>
      <c r="D628" s="19" t="s">
        <v>2883</v>
      </c>
      <c r="E628" s="18" t="s">
        <v>44</v>
      </c>
      <c r="F628" s="18" t="s">
        <v>33</v>
      </c>
      <c r="G628" s="19" t="s">
        <v>2830</v>
      </c>
      <c r="H628" s="19" t="s">
        <v>2884</v>
      </c>
      <c r="I628" s="19" t="s">
        <v>816</v>
      </c>
      <c r="J628" s="18" t="s">
        <v>51</v>
      </c>
    </row>
    <row r="629" spans="1:10" ht="78.75" customHeight="1">
      <c r="A629" s="21" t="s">
        <v>2885</v>
      </c>
      <c r="B629" s="21" t="s">
        <v>385</v>
      </c>
      <c r="C629" s="22" t="s">
        <v>27</v>
      </c>
      <c r="D629" s="22" t="s">
        <v>2886</v>
      </c>
      <c r="E629" s="18" t="s">
        <v>44</v>
      </c>
      <c r="F629" s="21" t="s">
        <v>33</v>
      </c>
      <c r="G629" s="22" t="s">
        <v>2830</v>
      </c>
      <c r="H629" s="22" t="s">
        <v>2887</v>
      </c>
      <c r="I629" s="22" t="s">
        <v>820</v>
      </c>
      <c r="J629" s="18" t="s">
        <v>51</v>
      </c>
    </row>
    <row r="630" spans="1:10" ht="63.75" customHeight="1">
      <c r="A630" s="18" t="s">
        <v>2888</v>
      </c>
      <c r="B630" s="18" t="s">
        <v>385</v>
      </c>
      <c r="C630" s="19" t="s">
        <v>27</v>
      </c>
      <c r="D630" s="19" t="s">
        <v>2889</v>
      </c>
      <c r="E630" s="18" t="s">
        <v>46</v>
      </c>
      <c r="F630" s="18" t="s">
        <v>33</v>
      </c>
      <c r="G630" s="19" t="s">
        <v>823</v>
      </c>
      <c r="H630" s="19" t="s">
        <v>2890</v>
      </c>
      <c r="I630" s="19" t="s">
        <v>2891</v>
      </c>
      <c r="J630" s="18" t="s">
        <v>51</v>
      </c>
    </row>
    <row r="631" spans="1:10" ht="63.75" customHeight="1">
      <c r="A631" s="21" t="s">
        <v>2892</v>
      </c>
      <c r="B631" s="21" t="s">
        <v>385</v>
      </c>
      <c r="C631" s="22" t="s">
        <v>27</v>
      </c>
      <c r="D631" s="22" t="s">
        <v>2893</v>
      </c>
      <c r="E631" s="18" t="s">
        <v>46</v>
      </c>
      <c r="F631" s="21" t="s">
        <v>33</v>
      </c>
      <c r="G631" s="22" t="s">
        <v>961</v>
      </c>
      <c r="H631" s="22" t="s">
        <v>2894</v>
      </c>
      <c r="I631" s="22" t="s">
        <v>2891</v>
      </c>
      <c r="J631" s="18" t="s">
        <v>51</v>
      </c>
    </row>
    <row r="632" spans="1:10" ht="63.75" customHeight="1">
      <c r="A632" s="18" t="s">
        <v>2895</v>
      </c>
      <c r="B632" s="18" t="s">
        <v>385</v>
      </c>
      <c r="C632" s="19" t="s">
        <v>27</v>
      </c>
      <c r="D632" s="19" t="s">
        <v>2896</v>
      </c>
      <c r="E632" s="18" t="s">
        <v>46</v>
      </c>
      <c r="F632" s="18" t="s">
        <v>33</v>
      </c>
      <c r="G632" s="19" t="s">
        <v>828</v>
      </c>
      <c r="H632" s="19" t="s">
        <v>2897</v>
      </c>
      <c r="I632" s="19" t="s">
        <v>2891</v>
      </c>
      <c r="J632" s="18" t="s">
        <v>51</v>
      </c>
    </row>
    <row r="633" spans="1:10" ht="78.75" customHeight="1">
      <c r="A633" s="21" t="s">
        <v>2898</v>
      </c>
      <c r="B633" s="21" t="s">
        <v>385</v>
      </c>
      <c r="C633" s="22" t="s">
        <v>27</v>
      </c>
      <c r="D633" s="22" t="s">
        <v>2899</v>
      </c>
      <c r="E633" s="18" t="s">
        <v>44</v>
      </c>
      <c r="F633" s="21" t="s">
        <v>33</v>
      </c>
      <c r="G633" s="22" t="s">
        <v>2830</v>
      </c>
      <c r="H633" s="22" t="s">
        <v>2900</v>
      </c>
      <c r="I633" s="22" t="s">
        <v>1284</v>
      </c>
      <c r="J633" s="18" t="s">
        <v>51</v>
      </c>
    </row>
    <row r="634" spans="1:10" ht="78.75" customHeight="1">
      <c r="A634" s="18" t="s">
        <v>2901</v>
      </c>
      <c r="B634" s="18" t="s">
        <v>385</v>
      </c>
      <c r="C634" s="19" t="s">
        <v>27</v>
      </c>
      <c r="D634" s="19" t="s">
        <v>2902</v>
      </c>
      <c r="E634" s="18" t="s">
        <v>42</v>
      </c>
      <c r="F634" s="18" t="s">
        <v>33</v>
      </c>
      <c r="G634" s="19" t="s">
        <v>2830</v>
      </c>
      <c r="H634" s="19" t="s">
        <v>2903</v>
      </c>
      <c r="I634" s="19" t="s">
        <v>1288</v>
      </c>
      <c r="J634" s="18" t="s">
        <v>51</v>
      </c>
    </row>
    <row r="635" spans="1:10" ht="78.75" customHeight="1">
      <c r="A635" s="21" t="s">
        <v>2904</v>
      </c>
      <c r="B635" s="21" t="s">
        <v>394</v>
      </c>
      <c r="C635" s="22" t="s">
        <v>27</v>
      </c>
      <c r="D635" s="22" t="s">
        <v>2905</v>
      </c>
      <c r="E635" s="18" t="s">
        <v>42</v>
      </c>
      <c r="F635" s="21" t="s">
        <v>37</v>
      </c>
      <c r="G635" s="22" t="s">
        <v>920</v>
      </c>
      <c r="H635" s="22" t="s">
        <v>2906</v>
      </c>
      <c r="I635" s="22" t="s">
        <v>2907</v>
      </c>
      <c r="J635" s="18" t="s">
        <v>51</v>
      </c>
    </row>
    <row r="636" spans="1:10" ht="78.75" customHeight="1">
      <c r="A636" s="18" t="s">
        <v>2908</v>
      </c>
      <c r="B636" s="18" t="s">
        <v>394</v>
      </c>
      <c r="C636" s="19" t="s">
        <v>27</v>
      </c>
      <c r="D636" s="19" t="s">
        <v>2909</v>
      </c>
      <c r="E636" s="18" t="s">
        <v>42</v>
      </c>
      <c r="F636" s="18" t="s">
        <v>37</v>
      </c>
      <c r="G636" s="19" t="s">
        <v>920</v>
      </c>
      <c r="H636" s="19" t="s">
        <v>2910</v>
      </c>
      <c r="I636" s="19" t="s">
        <v>2911</v>
      </c>
      <c r="J636" s="18" t="s">
        <v>51</v>
      </c>
    </row>
    <row r="637" spans="1:10" ht="78.75" customHeight="1">
      <c r="A637" s="21" t="s">
        <v>2912</v>
      </c>
      <c r="B637" s="21" t="s">
        <v>394</v>
      </c>
      <c r="C637" s="22" t="s">
        <v>27</v>
      </c>
      <c r="D637" s="22" t="s">
        <v>2913</v>
      </c>
      <c r="E637" s="18" t="s">
        <v>42</v>
      </c>
      <c r="F637" s="21" t="s">
        <v>37</v>
      </c>
      <c r="G637" s="22" t="s">
        <v>920</v>
      </c>
      <c r="H637" s="22" t="s">
        <v>2914</v>
      </c>
      <c r="I637" s="22" t="s">
        <v>2915</v>
      </c>
      <c r="J637" s="18" t="s">
        <v>51</v>
      </c>
    </row>
    <row r="638" spans="1:10" ht="48.75" customHeight="1">
      <c r="A638" s="18" t="s">
        <v>2916</v>
      </c>
      <c r="B638" s="18" t="s">
        <v>394</v>
      </c>
      <c r="C638" s="19" t="s">
        <v>27</v>
      </c>
      <c r="D638" s="19" t="s">
        <v>2917</v>
      </c>
      <c r="E638" s="18" t="s">
        <v>46</v>
      </c>
      <c r="F638" s="18" t="s">
        <v>37</v>
      </c>
      <c r="G638" s="19" t="s">
        <v>823</v>
      </c>
      <c r="H638" s="19" t="s">
        <v>2918</v>
      </c>
      <c r="I638" s="19" t="s">
        <v>958</v>
      </c>
      <c r="J638" s="18" t="s">
        <v>51</v>
      </c>
    </row>
    <row r="639" spans="1:10" ht="48.75" customHeight="1">
      <c r="A639" s="21" t="s">
        <v>2919</v>
      </c>
      <c r="B639" s="21" t="s">
        <v>394</v>
      </c>
      <c r="C639" s="22" t="s">
        <v>27</v>
      </c>
      <c r="D639" s="22" t="s">
        <v>2920</v>
      </c>
      <c r="E639" s="18" t="s">
        <v>46</v>
      </c>
      <c r="F639" s="21" t="s">
        <v>37</v>
      </c>
      <c r="G639" s="22" t="s">
        <v>961</v>
      </c>
      <c r="H639" s="22" t="s">
        <v>2921</v>
      </c>
      <c r="I639" s="22" t="s">
        <v>958</v>
      </c>
      <c r="J639" s="18" t="s">
        <v>51</v>
      </c>
    </row>
    <row r="640" spans="1:10" ht="48.75" customHeight="1">
      <c r="A640" s="18" t="s">
        <v>2922</v>
      </c>
      <c r="B640" s="18" t="s">
        <v>394</v>
      </c>
      <c r="C640" s="19" t="s">
        <v>27</v>
      </c>
      <c r="D640" s="19" t="s">
        <v>2923</v>
      </c>
      <c r="E640" s="18" t="s">
        <v>46</v>
      </c>
      <c r="F640" s="18" t="s">
        <v>37</v>
      </c>
      <c r="G640" s="19" t="s">
        <v>828</v>
      </c>
      <c r="H640" s="19" t="s">
        <v>2924</v>
      </c>
      <c r="I640" s="19" t="s">
        <v>958</v>
      </c>
      <c r="J640" s="18" t="s">
        <v>51</v>
      </c>
    </row>
    <row r="641" spans="1:10" ht="78.75" customHeight="1">
      <c r="A641" s="21" t="s">
        <v>2925</v>
      </c>
      <c r="B641" s="21" t="s">
        <v>398</v>
      </c>
      <c r="C641" s="22" t="s">
        <v>27</v>
      </c>
      <c r="D641" s="22" t="s">
        <v>2926</v>
      </c>
      <c r="E641" s="18" t="s">
        <v>42</v>
      </c>
      <c r="F641" s="21" t="s">
        <v>33</v>
      </c>
      <c r="G641" s="22" t="s">
        <v>920</v>
      </c>
      <c r="H641" s="22" t="s">
        <v>2927</v>
      </c>
      <c r="I641" s="22" t="s">
        <v>2928</v>
      </c>
      <c r="J641" s="18" t="s">
        <v>51</v>
      </c>
    </row>
    <row r="642" spans="1:10" ht="78.75" customHeight="1">
      <c r="A642" s="18" t="s">
        <v>2929</v>
      </c>
      <c r="B642" s="18" t="s">
        <v>398</v>
      </c>
      <c r="C642" s="19" t="s">
        <v>27</v>
      </c>
      <c r="D642" s="19" t="s">
        <v>2930</v>
      </c>
      <c r="E642" s="18" t="s">
        <v>44</v>
      </c>
      <c r="F642" s="18" t="s">
        <v>33</v>
      </c>
      <c r="G642" s="19" t="s">
        <v>920</v>
      </c>
      <c r="H642" s="19" t="s">
        <v>2931</v>
      </c>
      <c r="I642" s="19" t="s">
        <v>2932</v>
      </c>
      <c r="J642" s="18" t="s">
        <v>51</v>
      </c>
    </row>
    <row r="643" spans="1:10" ht="78.75" customHeight="1">
      <c r="A643" s="21" t="s">
        <v>2933</v>
      </c>
      <c r="B643" s="21" t="s">
        <v>398</v>
      </c>
      <c r="C643" s="22" t="s">
        <v>27</v>
      </c>
      <c r="D643" s="22" t="s">
        <v>2934</v>
      </c>
      <c r="E643" s="18" t="s">
        <v>42</v>
      </c>
      <c r="F643" s="21" t="s">
        <v>33</v>
      </c>
      <c r="G643" s="22" t="s">
        <v>920</v>
      </c>
      <c r="H643" s="22" t="s">
        <v>2935</v>
      </c>
      <c r="I643" s="22" t="s">
        <v>2936</v>
      </c>
      <c r="J643" s="18" t="s">
        <v>51</v>
      </c>
    </row>
    <row r="644" spans="1:10" ht="78.75" customHeight="1">
      <c r="A644" s="18" t="s">
        <v>2937</v>
      </c>
      <c r="B644" s="18" t="s">
        <v>398</v>
      </c>
      <c r="C644" s="19" t="s">
        <v>27</v>
      </c>
      <c r="D644" s="19" t="s">
        <v>2938</v>
      </c>
      <c r="E644" s="18" t="s">
        <v>42</v>
      </c>
      <c r="F644" s="18" t="s">
        <v>33</v>
      </c>
      <c r="G644" s="19" t="s">
        <v>920</v>
      </c>
      <c r="H644" s="19" t="s">
        <v>2939</v>
      </c>
      <c r="I644" s="19" t="s">
        <v>808</v>
      </c>
      <c r="J644" s="18" t="s">
        <v>51</v>
      </c>
    </row>
    <row r="645" spans="1:10" ht="48.75" customHeight="1">
      <c r="A645" s="21" t="s">
        <v>2940</v>
      </c>
      <c r="B645" s="21" t="s">
        <v>398</v>
      </c>
      <c r="C645" s="22" t="s">
        <v>27</v>
      </c>
      <c r="D645" s="22" t="s">
        <v>2941</v>
      </c>
      <c r="E645" s="18" t="s">
        <v>46</v>
      </c>
      <c r="F645" s="21" t="s">
        <v>33</v>
      </c>
      <c r="G645" s="22" t="s">
        <v>920</v>
      </c>
      <c r="H645" s="22" t="s">
        <v>2942</v>
      </c>
      <c r="I645" s="22" t="s">
        <v>812</v>
      </c>
      <c r="J645" s="18" t="s">
        <v>51</v>
      </c>
    </row>
    <row r="646" spans="1:10" ht="93.75" customHeight="1">
      <c r="A646" s="18" t="s">
        <v>2943</v>
      </c>
      <c r="B646" s="18" t="s">
        <v>398</v>
      </c>
      <c r="C646" s="19" t="s">
        <v>27</v>
      </c>
      <c r="D646" s="19" t="s">
        <v>2944</v>
      </c>
      <c r="E646" s="18" t="s">
        <v>44</v>
      </c>
      <c r="F646" s="18" t="s">
        <v>33</v>
      </c>
      <c r="G646" s="19" t="s">
        <v>920</v>
      </c>
      <c r="H646" s="19" t="s">
        <v>2945</v>
      </c>
      <c r="I646" s="19" t="s">
        <v>816</v>
      </c>
      <c r="J646" s="18" t="s">
        <v>51</v>
      </c>
    </row>
    <row r="647" spans="1:10" ht="78.75" customHeight="1">
      <c r="A647" s="21" t="s">
        <v>2946</v>
      </c>
      <c r="B647" s="21" t="s">
        <v>398</v>
      </c>
      <c r="C647" s="22" t="s">
        <v>27</v>
      </c>
      <c r="D647" s="22" t="s">
        <v>2947</v>
      </c>
      <c r="E647" s="18" t="s">
        <v>44</v>
      </c>
      <c r="F647" s="21" t="s">
        <v>33</v>
      </c>
      <c r="G647" s="22" t="s">
        <v>920</v>
      </c>
      <c r="H647" s="22" t="s">
        <v>2948</v>
      </c>
      <c r="I647" s="22" t="s">
        <v>820</v>
      </c>
      <c r="J647" s="18" t="s">
        <v>51</v>
      </c>
    </row>
    <row r="648" spans="1:10" ht="48.75" customHeight="1">
      <c r="A648" s="18" t="s">
        <v>2949</v>
      </c>
      <c r="B648" s="18" t="s">
        <v>398</v>
      </c>
      <c r="C648" s="19" t="s">
        <v>27</v>
      </c>
      <c r="D648" s="19" t="s">
        <v>2950</v>
      </c>
      <c r="E648" s="18" t="s">
        <v>46</v>
      </c>
      <c r="F648" s="18" t="s">
        <v>33</v>
      </c>
      <c r="G648" s="19" t="s">
        <v>823</v>
      </c>
      <c r="H648" s="19" t="s">
        <v>2951</v>
      </c>
      <c r="I648" s="19" t="s">
        <v>958</v>
      </c>
      <c r="J648" s="18" t="s">
        <v>51</v>
      </c>
    </row>
    <row r="649" spans="1:10" ht="48.75" customHeight="1">
      <c r="A649" s="21" t="s">
        <v>2952</v>
      </c>
      <c r="B649" s="21" t="s">
        <v>398</v>
      </c>
      <c r="C649" s="22" t="s">
        <v>27</v>
      </c>
      <c r="D649" s="22" t="s">
        <v>2953</v>
      </c>
      <c r="E649" s="18" t="s">
        <v>46</v>
      </c>
      <c r="F649" s="21" t="s">
        <v>33</v>
      </c>
      <c r="G649" s="22" t="s">
        <v>961</v>
      </c>
      <c r="H649" s="22" t="s">
        <v>2954</v>
      </c>
      <c r="I649" s="22" t="s">
        <v>958</v>
      </c>
      <c r="J649" s="18" t="s">
        <v>51</v>
      </c>
    </row>
    <row r="650" spans="1:10" ht="48.75" customHeight="1">
      <c r="A650" s="18" t="s">
        <v>2955</v>
      </c>
      <c r="B650" s="18" t="s">
        <v>398</v>
      </c>
      <c r="C650" s="19" t="s">
        <v>27</v>
      </c>
      <c r="D650" s="19" t="s">
        <v>2956</v>
      </c>
      <c r="E650" s="18" t="s">
        <v>46</v>
      </c>
      <c r="F650" s="18" t="s">
        <v>33</v>
      </c>
      <c r="G650" s="19" t="s">
        <v>828</v>
      </c>
      <c r="H650" s="19" t="s">
        <v>2957</v>
      </c>
      <c r="I650" s="19" t="s">
        <v>958</v>
      </c>
      <c r="J650" s="18" t="s">
        <v>51</v>
      </c>
    </row>
    <row r="651" spans="1:10" ht="93.75" customHeight="1">
      <c r="A651" s="21" t="s">
        <v>2958</v>
      </c>
      <c r="B651" s="21" t="s">
        <v>398</v>
      </c>
      <c r="C651" s="22" t="s">
        <v>27</v>
      </c>
      <c r="D651" s="22" t="s">
        <v>2959</v>
      </c>
      <c r="E651" s="18" t="s">
        <v>44</v>
      </c>
      <c r="F651" s="21" t="s">
        <v>33</v>
      </c>
      <c r="G651" s="22" t="s">
        <v>920</v>
      </c>
      <c r="H651" s="22" t="s">
        <v>1122</v>
      </c>
      <c r="I651" s="22" t="s">
        <v>833</v>
      </c>
      <c r="J651" s="18" t="s">
        <v>51</v>
      </c>
    </row>
    <row r="652" spans="1:10" ht="78.75" customHeight="1">
      <c r="A652" s="18" t="s">
        <v>2960</v>
      </c>
      <c r="B652" s="18" t="s">
        <v>403</v>
      </c>
      <c r="C652" s="19" t="s">
        <v>27</v>
      </c>
      <c r="D652" s="19" t="s">
        <v>2961</v>
      </c>
      <c r="E652" s="18" t="s">
        <v>42</v>
      </c>
      <c r="F652" s="18" t="s">
        <v>33</v>
      </c>
      <c r="G652" s="19" t="s">
        <v>920</v>
      </c>
      <c r="H652" s="19" t="s">
        <v>2962</v>
      </c>
      <c r="I652" s="19" t="s">
        <v>2963</v>
      </c>
      <c r="J652" s="18" t="s">
        <v>51</v>
      </c>
    </row>
    <row r="653" spans="1:10" ht="78.75" customHeight="1">
      <c r="A653" s="21" t="s">
        <v>2964</v>
      </c>
      <c r="B653" s="21" t="s">
        <v>403</v>
      </c>
      <c r="C653" s="22" t="s">
        <v>27</v>
      </c>
      <c r="D653" s="22" t="s">
        <v>2965</v>
      </c>
      <c r="E653" s="18" t="s">
        <v>42</v>
      </c>
      <c r="F653" s="21" t="s">
        <v>33</v>
      </c>
      <c r="G653" s="22" t="s">
        <v>920</v>
      </c>
      <c r="H653" s="22" t="s">
        <v>2966</v>
      </c>
      <c r="I653" s="22" t="s">
        <v>2520</v>
      </c>
      <c r="J653" s="18" t="s">
        <v>51</v>
      </c>
    </row>
    <row r="654" spans="1:10" ht="78.75" customHeight="1">
      <c r="A654" s="18" t="s">
        <v>2967</v>
      </c>
      <c r="B654" s="18" t="s">
        <v>403</v>
      </c>
      <c r="C654" s="19" t="s">
        <v>27</v>
      </c>
      <c r="D654" s="19" t="s">
        <v>2968</v>
      </c>
      <c r="E654" s="18" t="s">
        <v>42</v>
      </c>
      <c r="F654" s="18" t="s">
        <v>33</v>
      </c>
      <c r="G654" s="19" t="s">
        <v>920</v>
      </c>
      <c r="H654" s="19" t="s">
        <v>2969</v>
      </c>
      <c r="I654" s="19" t="s">
        <v>2970</v>
      </c>
      <c r="J654" s="18" t="s">
        <v>51</v>
      </c>
    </row>
    <row r="655" spans="1:10" ht="48.75" customHeight="1">
      <c r="A655" s="21" t="s">
        <v>2971</v>
      </c>
      <c r="B655" s="21" t="s">
        <v>403</v>
      </c>
      <c r="C655" s="22" t="s">
        <v>27</v>
      </c>
      <c r="D655" s="22" t="s">
        <v>2972</v>
      </c>
      <c r="E655" s="18" t="s">
        <v>46</v>
      </c>
      <c r="F655" s="21" t="s">
        <v>33</v>
      </c>
      <c r="G655" s="22" t="s">
        <v>823</v>
      </c>
      <c r="H655" s="22" t="s">
        <v>2973</v>
      </c>
      <c r="I655" s="22" t="s">
        <v>958</v>
      </c>
      <c r="J655" s="18" t="s">
        <v>51</v>
      </c>
    </row>
    <row r="656" spans="1:10" ht="48.75" customHeight="1">
      <c r="A656" s="18" t="s">
        <v>2974</v>
      </c>
      <c r="B656" s="18" t="s">
        <v>403</v>
      </c>
      <c r="C656" s="19" t="s">
        <v>27</v>
      </c>
      <c r="D656" s="19" t="s">
        <v>2975</v>
      </c>
      <c r="E656" s="18" t="s">
        <v>46</v>
      </c>
      <c r="F656" s="18" t="s">
        <v>33</v>
      </c>
      <c r="G656" s="19" t="s">
        <v>961</v>
      </c>
      <c r="H656" s="19" t="s">
        <v>2976</v>
      </c>
      <c r="I656" s="19" t="s">
        <v>958</v>
      </c>
      <c r="J656" s="18" t="s">
        <v>51</v>
      </c>
    </row>
    <row r="657" spans="1:10" ht="48.75" customHeight="1">
      <c r="A657" s="21" t="s">
        <v>2977</v>
      </c>
      <c r="B657" s="21" t="s">
        <v>403</v>
      </c>
      <c r="C657" s="22" t="s">
        <v>27</v>
      </c>
      <c r="D657" s="22" t="s">
        <v>2978</v>
      </c>
      <c r="E657" s="18" t="s">
        <v>46</v>
      </c>
      <c r="F657" s="21" t="s">
        <v>33</v>
      </c>
      <c r="G657" s="22" t="s">
        <v>828</v>
      </c>
      <c r="H657" s="22" t="s">
        <v>2979</v>
      </c>
      <c r="I657" s="22" t="s">
        <v>958</v>
      </c>
      <c r="J657" s="18" t="s">
        <v>51</v>
      </c>
    </row>
    <row r="658" spans="1:10" ht="93.75" customHeight="1">
      <c r="A658" s="18" t="s">
        <v>2980</v>
      </c>
      <c r="B658" s="18" t="s">
        <v>403</v>
      </c>
      <c r="C658" s="19" t="s">
        <v>27</v>
      </c>
      <c r="D658" s="19" t="s">
        <v>2981</v>
      </c>
      <c r="E658" s="18" t="s">
        <v>44</v>
      </c>
      <c r="F658" s="18" t="s">
        <v>33</v>
      </c>
      <c r="G658" s="19" t="s">
        <v>920</v>
      </c>
      <c r="H658" s="19" t="s">
        <v>1122</v>
      </c>
      <c r="I658" s="19" t="s">
        <v>833</v>
      </c>
      <c r="J658" s="18" t="s">
        <v>51</v>
      </c>
    </row>
    <row r="659" spans="1:10" ht="78.75" customHeight="1">
      <c r="A659" s="21" t="s">
        <v>2982</v>
      </c>
      <c r="B659" s="21" t="s">
        <v>407</v>
      </c>
      <c r="C659" s="22" t="s">
        <v>27</v>
      </c>
      <c r="D659" s="22" t="s">
        <v>2983</v>
      </c>
      <c r="E659" s="18" t="s">
        <v>42</v>
      </c>
      <c r="F659" s="21" t="s">
        <v>35</v>
      </c>
      <c r="G659" s="22" t="s">
        <v>920</v>
      </c>
      <c r="H659" s="22" t="s">
        <v>2984</v>
      </c>
      <c r="I659" s="22" t="s">
        <v>2985</v>
      </c>
      <c r="J659" s="18" t="s">
        <v>51</v>
      </c>
    </row>
    <row r="660" spans="1:10" ht="78.75" customHeight="1">
      <c r="A660" s="18" t="s">
        <v>2986</v>
      </c>
      <c r="B660" s="18" t="s">
        <v>407</v>
      </c>
      <c r="C660" s="19" t="s">
        <v>27</v>
      </c>
      <c r="D660" s="19" t="s">
        <v>2987</v>
      </c>
      <c r="E660" s="18" t="s">
        <v>42</v>
      </c>
      <c r="F660" s="18" t="s">
        <v>35</v>
      </c>
      <c r="G660" s="19" t="s">
        <v>920</v>
      </c>
      <c r="H660" s="19" t="s">
        <v>2988</v>
      </c>
      <c r="I660" s="19" t="s">
        <v>2989</v>
      </c>
      <c r="J660" s="18" t="s">
        <v>51</v>
      </c>
    </row>
    <row r="661" spans="1:10" ht="78.75" customHeight="1">
      <c r="A661" s="21" t="s">
        <v>2990</v>
      </c>
      <c r="B661" s="21" t="s">
        <v>407</v>
      </c>
      <c r="C661" s="22" t="s">
        <v>27</v>
      </c>
      <c r="D661" s="22" t="s">
        <v>2991</v>
      </c>
      <c r="E661" s="18" t="s">
        <v>42</v>
      </c>
      <c r="F661" s="21" t="s">
        <v>35</v>
      </c>
      <c r="G661" s="22" t="s">
        <v>920</v>
      </c>
      <c r="H661" s="22" t="s">
        <v>2992</v>
      </c>
      <c r="I661" s="22" t="s">
        <v>2993</v>
      </c>
      <c r="J661" s="18" t="s">
        <v>51</v>
      </c>
    </row>
    <row r="662" spans="1:10" ht="48.75" customHeight="1">
      <c r="A662" s="18" t="s">
        <v>2994</v>
      </c>
      <c r="B662" s="18" t="s">
        <v>407</v>
      </c>
      <c r="C662" s="19" t="s">
        <v>27</v>
      </c>
      <c r="D662" s="19" t="s">
        <v>2995</v>
      </c>
      <c r="E662" s="18" t="s">
        <v>46</v>
      </c>
      <c r="F662" s="18" t="s">
        <v>35</v>
      </c>
      <c r="G662" s="19" t="s">
        <v>823</v>
      </c>
      <c r="H662" s="19" t="s">
        <v>2996</v>
      </c>
      <c r="I662" s="19" t="s">
        <v>958</v>
      </c>
      <c r="J662" s="18" t="s">
        <v>51</v>
      </c>
    </row>
    <row r="663" spans="1:10" ht="48.75" customHeight="1">
      <c r="A663" s="21" t="s">
        <v>2997</v>
      </c>
      <c r="B663" s="21" t="s">
        <v>407</v>
      </c>
      <c r="C663" s="22" t="s">
        <v>27</v>
      </c>
      <c r="D663" s="22" t="s">
        <v>2998</v>
      </c>
      <c r="E663" s="18" t="s">
        <v>46</v>
      </c>
      <c r="F663" s="21" t="s">
        <v>35</v>
      </c>
      <c r="G663" s="22" t="s">
        <v>961</v>
      </c>
      <c r="H663" s="22" t="s">
        <v>2999</v>
      </c>
      <c r="I663" s="22" t="s">
        <v>958</v>
      </c>
      <c r="J663" s="18" t="s">
        <v>51</v>
      </c>
    </row>
    <row r="664" spans="1:10" ht="48.75" customHeight="1">
      <c r="A664" s="18" t="s">
        <v>3000</v>
      </c>
      <c r="B664" s="18" t="s">
        <v>407</v>
      </c>
      <c r="C664" s="19" t="s">
        <v>27</v>
      </c>
      <c r="D664" s="19" t="s">
        <v>3001</v>
      </c>
      <c r="E664" s="18" t="s">
        <v>46</v>
      </c>
      <c r="F664" s="18" t="s">
        <v>35</v>
      </c>
      <c r="G664" s="19" t="s">
        <v>828</v>
      </c>
      <c r="H664" s="19" t="s">
        <v>3002</v>
      </c>
      <c r="I664" s="19" t="s">
        <v>958</v>
      </c>
      <c r="J664" s="18" t="s">
        <v>51</v>
      </c>
    </row>
    <row r="665" spans="1:10" ht="78.75" customHeight="1">
      <c r="A665" s="21" t="s">
        <v>3003</v>
      </c>
      <c r="B665" s="21" t="s">
        <v>407</v>
      </c>
      <c r="C665" s="22" t="s">
        <v>27</v>
      </c>
      <c r="D665" s="22" t="s">
        <v>3004</v>
      </c>
      <c r="E665" s="18" t="s">
        <v>44</v>
      </c>
      <c r="F665" s="21" t="s">
        <v>35</v>
      </c>
      <c r="G665" s="22" t="s">
        <v>920</v>
      </c>
      <c r="H665" s="22" t="s">
        <v>1364</v>
      </c>
      <c r="I665" s="22" t="s">
        <v>1284</v>
      </c>
      <c r="J665" s="18" t="s">
        <v>51</v>
      </c>
    </row>
    <row r="666" spans="1:10" ht="78.75" customHeight="1">
      <c r="A666" s="18" t="s">
        <v>3005</v>
      </c>
      <c r="B666" s="18" t="s">
        <v>407</v>
      </c>
      <c r="C666" s="19" t="s">
        <v>27</v>
      </c>
      <c r="D666" s="19" t="s">
        <v>3006</v>
      </c>
      <c r="E666" s="18" t="s">
        <v>42</v>
      </c>
      <c r="F666" s="18" t="s">
        <v>35</v>
      </c>
      <c r="G666" s="19" t="s">
        <v>920</v>
      </c>
      <c r="H666" s="19" t="s">
        <v>1367</v>
      </c>
      <c r="I666" s="19" t="s">
        <v>1288</v>
      </c>
      <c r="J666" s="18" t="s">
        <v>51</v>
      </c>
    </row>
    <row r="667" spans="1:10" ht="78.75" customHeight="1">
      <c r="A667" s="21" t="s">
        <v>3007</v>
      </c>
      <c r="B667" s="21" t="s">
        <v>411</v>
      </c>
      <c r="C667" s="22" t="s">
        <v>27</v>
      </c>
      <c r="D667" s="22" t="s">
        <v>3008</v>
      </c>
      <c r="E667" s="18" t="s">
        <v>42</v>
      </c>
      <c r="F667" s="21" t="s">
        <v>35</v>
      </c>
      <c r="G667" s="22" t="s">
        <v>920</v>
      </c>
      <c r="H667" s="22" t="s">
        <v>3009</v>
      </c>
      <c r="I667" s="22" t="s">
        <v>3010</v>
      </c>
      <c r="J667" s="18" t="s">
        <v>51</v>
      </c>
    </row>
    <row r="668" spans="1:10" ht="78.75" customHeight="1">
      <c r="A668" s="18" t="s">
        <v>3011</v>
      </c>
      <c r="B668" s="18" t="s">
        <v>411</v>
      </c>
      <c r="C668" s="19" t="s">
        <v>27</v>
      </c>
      <c r="D668" s="19" t="s">
        <v>3012</v>
      </c>
      <c r="E668" s="18" t="s">
        <v>42</v>
      </c>
      <c r="F668" s="18" t="s">
        <v>35</v>
      </c>
      <c r="G668" s="19" t="s">
        <v>920</v>
      </c>
      <c r="H668" s="19" t="s">
        <v>3013</v>
      </c>
      <c r="I668" s="19" t="s">
        <v>3014</v>
      </c>
      <c r="J668" s="18" t="s">
        <v>51</v>
      </c>
    </row>
    <row r="669" spans="1:10" ht="78.75" customHeight="1">
      <c r="A669" s="21" t="s">
        <v>3015</v>
      </c>
      <c r="B669" s="21" t="s">
        <v>411</v>
      </c>
      <c r="C669" s="22" t="s">
        <v>27</v>
      </c>
      <c r="D669" s="22" t="s">
        <v>3016</v>
      </c>
      <c r="E669" s="18" t="s">
        <v>42</v>
      </c>
      <c r="F669" s="21" t="s">
        <v>35</v>
      </c>
      <c r="G669" s="22" t="s">
        <v>920</v>
      </c>
      <c r="H669" s="22" t="s">
        <v>3017</v>
      </c>
      <c r="I669" s="22" t="s">
        <v>3018</v>
      </c>
      <c r="J669" s="18" t="s">
        <v>51</v>
      </c>
    </row>
    <row r="670" spans="1:10" ht="48.75" customHeight="1">
      <c r="A670" s="18" t="s">
        <v>3019</v>
      </c>
      <c r="B670" s="18" t="s">
        <v>411</v>
      </c>
      <c r="C670" s="19" t="s">
        <v>27</v>
      </c>
      <c r="D670" s="19" t="s">
        <v>3020</v>
      </c>
      <c r="E670" s="18" t="s">
        <v>46</v>
      </c>
      <c r="F670" s="18" t="s">
        <v>35</v>
      </c>
      <c r="G670" s="19" t="s">
        <v>823</v>
      </c>
      <c r="H670" s="19" t="s">
        <v>3021</v>
      </c>
      <c r="I670" s="19" t="s">
        <v>958</v>
      </c>
      <c r="J670" s="18" t="s">
        <v>51</v>
      </c>
    </row>
    <row r="671" spans="1:10" ht="48.75" customHeight="1">
      <c r="A671" s="21" t="s">
        <v>3022</v>
      </c>
      <c r="B671" s="21" t="s">
        <v>411</v>
      </c>
      <c r="C671" s="22" t="s">
        <v>27</v>
      </c>
      <c r="D671" s="22" t="s">
        <v>3023</v>
      </c>
      <c r="E671" s="18" t="s">
        <v>46</v>
      </c>
      <c r="F671" s="21" t="s">
        <v>35</v>
      </c>
      <c r="G671" s="22" t="s">
        <v>961</v>
      </c>
      <c r="H671" s="22" t="s">
        <v>3024</v>
      </c>
      <c r="I671" s="22" t="s">
        <v>958</v>
      </c>
      <c r="J671" s="18" t="s">
        <v>51</v>
      </c>
    </row>
    <row r="672" spans="1:10" ht="48.75" customHeight="1">
      <c r="A672" s="18" t="s">
        <v>3025</v>
      </c>
      <c r="B672" s="18" t="s">
        <v>411</v>
      </c>
      <c r="C672" s="19" t="s">
        <v>27</v>
      </c>
      <c r="D672" s="19" t="s">
        <v>3026</v>
      </c>
      <c r="E672" s="18" t="s">
        <v>46</v>
      </c>
      <c r="F672" s="18" t="s">
        <v>35</v>
      </c>
      <c r="G672" s="19" t="s">
        <v>828</v>
      </c>
      <c r="H672" s="19" t="s">
        <v>3027</v>
      </c>
      <c r="I672" s="19" t="s">
        <v>958</v>
      </c>
      <c r="J672" s="18" t="s">
        <v>51</v>
      </c>
    </row>
    <row r="673" spans="1:10" ht="78.75" customHeight="1">
      <c r="A673" s="21" t="s">
        <v>3028</v>
      </c>
      <c r="B673" s="21" t="s">
        <v>415</v>
      </c>
      <c r="C673" s="22" t="s">
        <v>27</v>
      </c>
      <c r="D673" s="22" t="s">
        <v>3029</v>
      </c>
      <c r="E673" s="18" t="s">
        <v>42</v>
      </c>
      <c r="F673" s="21" t="s">
        <v>33</v>
      </c>
      <c r="G673" s="22" t="s">
        <v>920</v>
      </c>
      <c r="H673" s="22" t="s">
        <v>3030</v>
      </c>
      <c r="I673" s="22" t="s">
        <v>3031</v>
      </c>
      <c r="J673" s="18" t="s">
        <v>51</v>
      </c>
    </row>
    <row r="674" spans="1:10" ht="78.75" customHeight="1">
      <c r="A674" s="18" t="s">
        <v>3032</v>
      </c>
      <c r="B674" s="18" t="s">
        <v>415</v>
      </c>
      <c r="C674" s="19" t="s">
        <v>27</v>
      </c>
      <c r="D674" s="19" t="s">
        <v>3033</v>
      </c>
      <c r="E674" s="18" t="s">
        <v>42</v>
      </c>
      <c r="F674" s="18" t="s">
        <v>33</v>
      </c>
      <c r="G674" s="19" t="s">
        <v>920</v>
      </c>
      <c r="H674" s="19" t="s">
        <v>3034</v>
      </c>
      <c r="I674" s="19" t="s">
        <v>3035</v>
      </c>
      <c r="J674" s="18" t="s">
        <v>51</v>
      </c>
    </row>
    <row r="675" spans="1:10" ht="78.75" customHeight="1">
      <c r="A675" s="21" t="s">
        <v>3036</v>
      </c>
      <c r="B675" s="21" t="s">
        <v>415</v>
      </c>
      <c r="C675" s="22" t="s">
        <v>27</v>
      </c>
      <c r="D675" s="22" t="s">
        <v>3037</v>
      </c>
      <c r="E675" s="18" t="s">
        <v>42</v>
      </c>
      <c r="F675" s="21" t="s">
        <v>33</v>
      </c>
      <c r="G675" s="22" t="s">
        <v>920</v>
      </c>
      <c r="H675" s="22" t="s">
        <v>3038</v>
      </c>
      <c r="I675" s="22" t="s">
        <v>3039</v>
      </c>
      <c r="J675" s="18" t="s">
        <v>51</v>
      </c>
    </row>
    <row r="676" spans="1:10" ht="48.75" customHeight="1">
      <c r="A676" s="18" t="s">
        <v>3040</v>
      </c>
      <c r="B676" s="18" t="s">
        <v>415</v>
      </c>
      <c r="C676" s="19" t="s">
        <v>27</v>
      </c>
      <c r="D676" s="19" t="s">
        <v>3041</v>
      </c>
      <c r="E676" s="18" t="s">
        <v>46</v>
      </c>
      <c r="F676" s="18" t="s">
        <v>33</v>
      </c>
      <c r="G676" s="19" t="s">
        <v>823</v>
      </c>
      <c r="H676" s="19" t="s">
        <v>3042</v>
      </c>
      <c r="I676" s="19" t="s">
        <v>958</v>
      </c>
      <c r="J676" s="18" t="s">
        <v>51</v>
      </c>
    </row>
    <row r="677" spans="1:10" ht="48.75" customHeight="1">
      <c r="A677" s="21" t="s">
        <v>3043</v>
      </c>
      <c r="B677" s="21" t="s">
        <v>415</v>
      </c>
      <c r="C677" s="22" t="s">
        <v>27</v>
      </c>
      <c r="D677" s="22" t="s">
        <v>3044</v>
      </c>
      <c r="E677" s="18" t="s">
        <v>46</v>
      </c>
      <c r="F677" s="21" t="s">
        <v>33</v>
      </c>
      <c r="G677" s="22" t="s">
        <v>961</v>
      </c>
      <c r="H677" s="22" t="s">
        <v>3045</v>
      </c>
      <c r="I677" s="22" t="s">
        <v>958</v>
      </c>
      <c r="J677" s="18" t="s">
        <v>51</v>
      </c>
    </row>
    <row r="678" spans="1:10" ht="48.75" customHeight="1">
      <c r="A678" s="18" t="s">
        <v>3046</v>
      </c>
      <c r="B678" s="18" t="s">
        <v>415</v>
      </c>
      <c r="C678" s="19" t="s">
        <v>27</v>
      </c>
      <c r="D678" s="19" t="s">
        <v>3047</v>
      </c>
      <c r="E678" s="18" t="s">
        <v>46</v>
      </c>
      <c r="F678" s="18" t="s">
        <v>33</v>
      </c>
      <c r="G678" s="19" t="s">
        <v>828</v>
      </c>
      <c r="H678" s="19" t="s">
        <v>3048</v>
      </c>
      <c r="I678" s="19" t="s">
        <v>958</v>
      </c>
      <c r="J678" s="18" t="s">
        <v>51</v>
      </c>
    </row>
    <row r="679" spans="1:10" ht="78.75" customHeight="1">
      <c r="A679" s="21" t="s">
        <v>3049</v>
      </c>
      <c r="B679" s="21" t="s">
        <v>418</v>
      </c>
      <c r="C679" s="22" t="s">
        <v>27</v>
      </c>
      <c r="D679" s="22" t="s">
        <v>3050</v>
      </c>
      <c r="E679" s="18" t="s">
        <v>42</v>
      </c>
      <c r="F679" s="21" t="s">
        <v>35</v>
      </c>
      <c r="G679" s="22" t="s">
        <v>920</v>
      </c>
      <c r="H679" s="22" t="s">
        <v>3051</v>
      </c>
      <c r="I679" s="22" t="s">
        <v>3052</v>
      </c>
      <c r="J679" s="18" t="s">
        <v>51</v>
      </c>
    </row>
    <row r="680" spans="1:10" ht="78.75" customHeight="1">
      <c r="A680" s="18" t="s">
        <v>3053</v>
      </c>
      <c r="B680" s="18" t="s">
        <v>418</v>
      </c>
      <c r="C680" s="19" t="s">
        <v>27</v>
      </c>
      <c r="D680" s="19" t="s">
        <v>3054</v>
      </c>
      <c r="E680" s="18" t="s">
        <v>42</v>
      </c>
      <c r="F680" s="18" t="s">
        <v>35</v>
      </c>
      <c r="G680" s="19" t="s">
        <v>920</v>
      </c>
      <c r="H680" s="19" t="s">
        <v>3055</v>
      </c>
      <c r="I680" s="19" t="s">
        <v>3056</v>
      </c>
      <c r="J680" s="18" t="s">
        <v>51</v>
      </c>
    </row>
    <row r="681" spans="1:10" ht="78.75" customHeight="1">
      <c r="A681" s="21" t="s">
        <v>3057</v>
      </c>
      <c r="B681" s="21" t="s">
        <v>418</v>
      </c>
      <c r="C681" s="22" t="s">
        <v>27</v>
      </c>
      <c r="D681" s="22" t="s">
        <v>3058</v>
      </c>
      <c r="E681" s="18" t="s">
        <v>44</v>
      </c>
      <c r="F681" s="21" t="s">
        <v>35</v>
      </c>
      <c r="G681" s="22" t="s">
        <v>920</v>
      </c>
      <c r="H681" s="22" t="s">
        <v>3059</v>
      </c>
      <c r="I681" s="22" t="s">
        <v>3060</v>
      </c>
      <c r="J681" s="18" t="s">
        <v>51</v>
      </c>
    </row>
    <row r="682" spans="1:10" ht="48.75" customHeight="1">
      <c r="A682" s="18" t="s">
        <v>3061</v>
      </c>
      <c r="B682" s="18" t="s">
        <v>418</v>
      </c>
      <c r="C682" s="19" t="s">
        <v>27</v>
      </c>
      <c r="D682" s="19" t="s">
        <v>3062</v>
      </c>
      <c r="E682" s="18" t="s">
        <v>46</v>
      </c>
      <c r="F682" s="18" t="s">
        <v>35</v>
      </c>
      <c r="G682" s="19" t="s">
        <v>823</v>
      </c>
      <c r="H682" s="19" t="s">
        <v>3063</v>
      </c>
      <c r="I682" s="19" t="s">
        <v>958</v>
      </c>
      <c r="J682" s="18" t="s">
        <v>51</v>
      </c>
    </row>
    <row r="683" spans="1:10" ht="48.75" customHeight="1">
      <c r="A683" s="21" t="s">
        <v>3064</v>
      </c>
      <c r="B683" s="21" t="s">
        <v>418</v>
      </c>
      <c r="C683" s="22" t="s">
        <v>27</v>
      </c>
      <c r="D683" s="22" t="s">
        <v>3065</v>
      </c>
      <c r="E683" s="18" t="s">
        <v>46</v>
      </c>
      <c r="F683" s="21" t="s">
        <v>35</v>
      </c>
      <c r="G683" s="22" t="s">
        <v>961</v>
      </c>
      <c r="H683" s="22" t="s">
        <v>3066</v>
      </c>
      <c r="I683" s="22" t="s">
        <v>958</v>
      </c>
      <c r="J683" s="18" t="s">
        <v>51</v>
      </c>
    </row>
    <row r="684" spans="1:10" ht="48.75" customHeight="1">
      <c r="A684" s="18" t="s">
        <v>3067</v>
      </c>
      <c r="B684" s="18" t="s">
        <v>418</v>
      </c>
      <c r="C684" s="19" t="s">
        <v>27</v>
      </c>
      <c r="D684" s="19" t="s">
        <v>3068</v>
      </c>
      <c r="E684" s="18" t="s">
        <v>46</v>
      </c>
      <c r="F684" s="18" t="s">
        <v>35</v>
      </c>
      <c r="G684" s="19" t="s">
        <v>828</v>
      </c>
      <c r="H684" s="19" t="s">
        <v>3069</v>
      </c>
      <c r="I684" s="19" t="s">
        <v>958</v>
      </c>
      <c r="J684" s="18" t="s">
        <v>51</v>
      </c>
    </row>
    <row r="685" spans="1:10" ht="78.75" customHeight="1">
      <c r="A685" s="21" t="s">
        <v>3070</v>
      </c>
      <c r="B685" s="21" t="s">
        <v>422</v>
      </c>
      <c r="C685" s="22" t="s">
        <v>27</v>
      </c>
      <c r="D685" s="22" t="s">
        <v>3071</v>
      </c>
      <c r="E685" s="18" t="s">
        <v>42</v>
      </c>
      <c r="F685" s="21" t="s">
        <v>37</v>
      </c>
      <c r="G685" s="22" t="s">
        <v>920</v>
      </c>
      <c r="H685" s="22" t="s">
        <v>3072</v>
      </c>
      <c r="I685" s="22" t="s">
        <v>3073</v>
      </c>
      <c r="J685" s="18" t="s">
        <v>51</v>
      </c>
    </row>
    <row r="686" spans="1:10" ht="78.75" customHeight="1">
      <c r="A686" s="18" t="s">
        <v>3074</v>
      </c>
      <c r="B686" s="18" t="s">
        <v>422</v>
      </c>
      <c r="C686" s="19" t="s">
        <v>27</v>
      </c>
      <c r="D686" s="19" t="s">
        <v>3075</v>
      </c>
      <c r="E686" s="18" t="s">
        <v>42</v>
      </c>
      <c r="F686" s="18" t="s">
        <v>37</v>
      </c>
      <c r="G686" s="19" t="s">
        <v>920</v>
      </c>
      <c r="H686" s="19" t="s">
        <v>2117</v>
      </c>
      <c r="I686" s="19" t="s">
        <v>2118</v>
      </c>
      <c r="J686" s="18" t="s">
        <v>51</v>
      </c>
    </row>
    <row r="687" spans="1:10" ht="78.75" customHeight="1">
      <c r="A687" s="21" t="s">
        <v>3076</v>
      </c>
      <c r="B687" s="21" t="s">
        <v>422</v>
      </c>
      <c r="C687" s="22" t="s">
        <v>27</v>
      </c>
      <c r="D687" s="22" t="s">
        <v>3077</v>
      </c>
      <c r="E687" s="18" t="s">
        <v>42</v>
      </c>
      <c r="F687" s="21" t="s">
        <v>37</v>
      </c>
      <c r="G687" s="22" t="s">
        <v>920</v>
      </c>
      <c r="H687" s="22" t="s">
        <v>3078</v>
      </c>
      <c r="I687" s="22" t="s">
        <v>3079</v>
      </c>
      <c r="J687" s="18" t="s">
        <v>51</v>
      </c>
    </row>
    <row r="688" spans="1:10" ht="48.75" customHeight="1">
      <c r="A688" s="18" t="s">
        <v>3080</v>
      </c>
      <c r="B688" s="18" t="s">
        <v>422</v>
      </c>
      <c r="C688" s="19" t="s">
        <v>27</v>
      </c>
      <c r="D688" s="19" t="s">
        <v>3081</v>
      </c>
      <c r="E688" s="18" t="s">
        <v>46</v>
      </c>
      <c r="F688" s="18" t="s">
        <v>37</v>
      </c>
      <c r="G688" s="19" t="s">
        <v>823</v>
      </c>
      <c r="H688" s="19" t="s">
        <v>3082</v>
      </c>
      <c r="I688" s="19" t="s">
        <v>958</v>
      </c>
      <c r="J688" s="18" t="s">
        <v>51</v>
      </c>
    </row>
    <row r="689" spans="1:10" ht="48.75" customHeight="1">
      <c r="A689" s="21" t="s">
        <v>3083</v>
      </c>
      <c r="B689" s="21" t="s">
        <v>422</v>
      </c>
      <c r="C689" s="22" t="s">
        <v>27</v>
      </c>
      <c r="D689" s="22" t="s">
        <v>3084</v>
      </c>
      <c r="E689" s="18" t="s">
        <v>46</v>
      </c>
      <c r="F689" s="21" t="s">
        <v>37</v>
      </c>
      <c r="G689" s="22" t="s">
        <v>961</v>
      </c>
      <c r="H689" s="22" t="s">
        <v>3085</v>
      </c>
      <c r="I689" s="22" t="s">
        <v>958</v>
      </c>
      <c r="J689" s="18" t="s">
        <v>51</v>
      </c>
    </row>
    <row r="690" spans="1:10" ht="48.75" customHeight="1">
      <c r="A690" s="18" t="s">
        <v>3086</v>
      </c>
      <c r="B690" s="18" t="s">
        <v>422</v>
      </c>
      <c r="C690" s="19" t="s">
        <v>27</v>
      </c>
      <c r="D690" s="19" t="s">
        <v>3087</v>
      </c>
      <c r="E690" s="18" t="s">
        <v>46</v>
      </c>
      <c r="F690" s="18" t="s">
        <v>37</v>
      </c>
      <c r="G690" s="19" t="s">
        <v>828</v>
      </c>
      <c r="H690" s="19" t="s">
        <v>3088</v>
      </c>
      <c r="I690" s="19" t="s">
        <v>958</v>
      </c>
      <c r="J690" s="18" t="s">
        <v>51</v>
      </c>
    </row>
    <row r="691" spans="1:10" ht="78.75" customHeight="1">
      <c r="A691" s="21" t="s">
        <v>3089</v>
      </c>
      <c r="B691" s="21" t="s">
        <v>425</v>
      </c>
      <c r="C691" s="22" t="s">
        <v>27</v>
      </c>
      <c r="D691" s="22" t="s">
        <v>3090</v>
      </c>
      <c r="E691" s="18" t="s">
        <v>42</v>
      </c>
      <c r="F691" s="21" t="s">
        <v>37</v>
      </c>
      <c r="G691" s="22" t="s">
        <v>920</v>
      </c>
      <c r="H691" s="22" t="s">
        <v>3091</v>
      </c>
      <c r="I691" s="22" t="s">
        <v>3092</v>
      </c>
      <c r="J691" s="18" t="s">
        <v>51</v>
      </c>
    </row>
    <row r="692" spans="1:10" ht="78.75" customHeight="1">
      <c r="A692" s="18" t="s">
        <v>3093</v>
      </c>
      <c r="B692" s="18" t="s">
        <v>425</v>
      </c>
      <c r="C692" s="19" t="s">
        <v>27</v>
      </c>
      <c r="D692" s="19" t="s">
        <v>3094</v>
      </c>
      <c r="E692" s="18" t="s">
        <v>42</v>
      </c>
      <c r="F692" s="18" t="s">
        <v>37</v>
      </c>
      <c r="G692" s="19" t="s">
        <v>920</v>
      </c>
      <c r="H692" s="19" t="s">
        <v>1539</v>
      </c>
      <c r="I692" s="19" t="s">
        <v>1540</v>
      </c>
      <c r="J692" s="18" t="s">
        <v>51</v>
      </c>
    </row>
    <row r="693" spans="1:10" ht="48.75" customHeight="1">
      <c r="A693" s="21" t="s">
        <v>3095</v>
      </c>
      <c r="B693" s="21" t="s">
        <v>425</v>
      </c>
      <c r="C693" s="22" t="s">
        <v>27</v>
      </c>
      <c r="D693" s="22" t="s">
        <v>3096</v>
      </c>
      <c r="E693" s="18" t="s">
        <v>46</v>
      </c>
      <c r="F693" s="21" t="s">
        <v>37</v>
      </c>
      <c r="G693" s="22" t="s">
        <v>823</v>
      </c>
      <c r="H693" s="22" t="s">
        <v>3097</v>
      </c>
      <c r="I693" s="22" t="s">
        <v>958</v>
      </c>
      <c r="J693" s="18" t="s">
        <v>51</v>
      </c>
    </row>
    <row r="694" spans="1:10" ht="48.75" customHeight="1">
      <c r="A694" s="18" t="s">
        <v>3098</v>
      </c>
      <c r="B694" s="18" t="s">
        <v>425</v>
      </c>
      <c r="C694" s="19" t="s">
        <v>27</v>
      </c>
      <c r="D694" s="19" t="s">
        <v>3099</v>
      </c>
      <c r="E694" s="18" t="s">
        <v>46</v>
      </c>
      <c r="F694" s="18" t="s">
        <v>37</v>
      </c>
      <c r="G694" s="19" t="s">
        <v>961</v>
      </c>
      <c r="H694" s="19" t="s">
        <v>3100</v>
      </c>
      <c r="I694" s="19" t="s">
        <v>958</v>
      </c>
      <c r="J694" s="18" t="s">
        <v>51</v>
      </c>
    </row>
    <row r="695" spans="1:10" ht="48.75" customHeight="1">
      <c r="A695" s="21" t="s">
        <v>3101</v>
      </c>
      <c r="B695" s="21" t="s">
        <v>425</v>
      </c>
      <c r="C695" s="22" t="s">
        <v>27</v>
      </c>
      <c r="D695" s="22" t="s">
        <v>3102</v>
      </c>
      <c r="E695" s="18" t="s">
        <v>46</v>
      </c>
      <c r="F695" s="21" t="s">
        <v>37</v>
      </c>
      <c r="G695" s="22" t="s">
        <v>828</v>
      </c>
      <c r="H695" s="22" t="s">
        <v>3103</v>
      </c>
      <c r="I695" s="22" t="s">
        <v>958</v>
      </c>
      <c r="J695" s="18" t="s">
        <v>51</v>
      </c>
    </row>
    <row r="696" spans="1:10" ht="78.75" customHeight="1">
      <c r="A696" s="18" t="s">
        <v>3104</v>
      </c>
      <c r="B696" s="18" t="s">
        <v>428</v>
      </c>
      <c r="C696" s="19" t="s">
        <v>27</v>
      </c>
      <c r="D696" s="19" t="s">
        <v>3105</v>
      </c>
      <c r="E696" s="18" t="s">
        <v>42</v>
      </c>
      <c r="F696" s="18" t="s">
        <v>37</v>
      </c>
      <c r="G696" s="19" t="s">
        <v>920</v>
      </c>
      <c r="H696" s="19" t="s">
        <v>3106</v>
      </c>
      <c r="I696" s="19" t="s">
        <v>3107</v>
      </c>
      <c r="J696" s="18" t="s">
        <v>51</v>
      </c>
    </row>
    <row r="697" spans="1:10" ht="78.75" customHeight="1">
      <c r="A697" s="21" t="s">
        <v>3108</v>
      </c>
      <c r="B697" s="21" t="s">
        <v>428</v>
      </c>
      <c r="C697" s="22" t="s">
        <v>27</v>
      </c>
      <c r="D697" s="22" t="s">
        <v>3109</v>
      </c>
      <c r="E697" s="18" t="s">
        <v>42</v>
      </c>
      <c r="F697" s="21" t="s">
        <v>37</v>
      </c>
      <c r="G697" s="22" t="s">
        <v>920</v>
      </c>
      <c r="H697" s="22" t="s">
        <v>3110</v>
      </c>
      <c r="I697" s="22" t="s">
        <v>3111</v>
      </c>
      <c r="J697" s="18" t="s">
        <v>51</v>
      </c>
    </row>
    <row r="698" spans="1:10" ht="63.75" customHeight="1">
      <c r="A698" s="18" t="s">
        <v>3112</v>
      </c>
      <c r="B698" s="18" t="s">
        <v>428</v>
      </c>
      <c r="C698" s="19" t="s">
        <v>27</v>
      </c>
      <c r="D698" s="19" t="s">
        <v>3113</v>
      </c>
      <c r="E698" s="18" t="s">
        <v>42</v>
      </c>
      <c r="F698" s="18" t="s">
        <v>37</v>
      </c>
      <c r="G698" s="19" t="s">
        <v>920</v>
      </c>
      <c r="H698" s="19" t="s">
        <v>3114</v>
      </c>
      <c r="I698" s="19" t="s">
        <v>3115</v>
      </c>
      <c r="J698" s="18" t="s">
        <v>51</v>
      </c>
    </row>
    <row r="699" spans="1:10" ht="48.75" customHeight="1">
      <c r="A699" s="21" t="s">
        <v>3116</v>
      </c>
      <c r="B699" s="21" t="s">
        <v>428</v>
      </c>
      <c r="C699" s="22" t="s">
        <v>27</v>
      </c>
      <c r="D699" s="22" t="s">
        <v>3117</v>
      </c>
      <c r="E699" s="18" t="s">
        <v>46</v>
      </c>
      <c r="F699" s="21" t="s">
        <v>37</v>
      </c>
      <c r="G699" s="22" t="s">
        <v>823</v>
      </c>
      <c r="H699" s="22" t="s">
        <v>3118</v>
      </c>
      <c r="I699" s="22" t="s">
        <v>958</v>
      </c>
      <c r="J699" s="18" t="s">
        <v>51</v>
      </c>
    </row>
    <row r="700" spans="1:10" ht="48.75" customHeight="1">
      <c r="A700" s="18" t="s">
        <v>3119</v>
      </c>
      <c r="B700" s="18" t="s">
        <v>428</v>
      </c>
      <c r="C700" s="19" t="s">
        <v>27</v>
      </c>
      <c r="D700" s="19" t="s">
        <v>3120</v>
      </c>
      <c r="E700" s="18" t="s">
        <v>46</v>
      </c>
      <c r="F700" s="18" t="s">
        <v>37</v>
      </c>
      <c r="G700" s="19" t="s">
        <v>961</v>
      </c>
      <c r="H700" s="19" t="s">
        <v>3121</v>
      </c>
      <c r="I700" s="19" t="s">
        <v>958</v>
      </c>
      <c r="J700" s="18" t="s">
        <v>51</v>
      </c>
    </row>
    <row r="701" spans="1:10" ht="48.75" customHeight="1">
      <c r="A701" s="21" t="s">
        <v>3122</v>
      </c>
      <c r="B701" s="21" t="s">
        <v>428</v>
      </c>
      <c r="C701" s="22" t="s">
        <v>27</v>
      </c>
      <c r="D701" s="22" t="s">
        <v>3123</v>
      </c>
      <c r="E701" s="18" t="s">
        <v>46</v>
      </c>
      <c r="F701" s="21" t="s">
        <v>37</v>
      </c>
      <c r="G701" s="22" t="s">
        <v>828</v>
      </c>
      <c r="H701" s="22" t="s">
        <v>3124</v>
      </c>
      <c r="I701" s="22" t="s">
        <v>958</v>
      </c>
      <c r="J701" s="18" t="s">
        <v>51</v>
      </c>
    </row>
    <row r="702" spans="1:10" ht="78.75" customHeight="1">
      <c r="A702" s="18" t="s">
        <v>3125</v>
      </c>
      <c r="B702" s="18" t="s">
        <v>428</v>
      </c>
      <c r="C702" s="19" t="s">
        <v>27</v>
      </c>
      <c r="D702" s="19" t="s">
        <v>3126</v>
      </c>
      <c r="E702" s="18" t="s">
        <v>44</v>
      </c>
      <c r="F702" s="18" t="s">
        <v>37</v>
      </c>
      <c r="G702" s="19" t="s">
        <v>920</v>
      </c>
      <c r="H702" s="19" t="s">
        <v>1364</v>
      </c>
      <c r="I702" s="19" t="s">
        <v>1284</v>
      </c>
      <c r="J702" s="18" t="s">
        <v>51</v>
      </c>
    </row>
    <row r="703" spans="1:10" ht="78.75" customHeight="1">
      <c r="A703" s="21" t="s">
        <v>3127</v>
      </c>
      <c r="B703" s="21" t="s">
        <v>428</v>
      </c>
      <c r="C703" s="22" t="s">
        <v>27</v>
      </c>
      <c r="D703" s="22" t="s">
        <v>3128</v>
      </c>
      <c r="E703" s="18" t="s">
        <v>42</v>
      </c>
      <c r="F703" s="21" t="s">
        <v>37</v>
      </c>
      <c r="G703" s="22" t="s">
        <v>920</v>
      </c>
      <c r="H703" s="22" t="s">
        <v>1367</v>
      </c>
      <c r="I703" s="22" t="s">
        <v>1288</v>
      </c>
      <c r="J703" s="18" t="s">
        <v>51</v>
      </c>
    </row>
    <row r="704" spans="1:10" ht="78.75" customHeight="1">
      <c r="A704" s="18" t="s">
        <v>3129</v>
      </c>
      <c r="B704" s="18" t="s">
        <v>432</v>
      </c>
      <c r="C704" s="19" t="s">
        <v>27</v>
      </c>
      <c r="D704" s="19" t="s">
        <v>3130</v>
      </c>
      <c r="E704" s="18" t="s">
        <v>42</v>
      </c>
      <c r="F704" s="18" t="s">
        <v>39</v>
      </c>
      <c r="G704" s="19" t="s">
        <v>920</v>
      </c>
      <c r="H704" s="19" t="s">
        <v>3131</v>
      </c>
      <c r="I704" s="19" t="s">
        <v>3132</v>
      </c>
      <c r="J704" s="18" t="s">
        <v>51</v>
      </c>
    </row>
    <row r="705" spans="1:10" ht="78.75" customHeight="1">
      <c r="A705" s="21" t="s">
        <v>3133</v>
      </c>
      <c r="B705" s="21" t="s">
        <v>432</v>
      </c>
      <c r="C705" s="22" t="s">
        <v>27</v>
      </c>
      <c r="D705" s="22" t="s">
        <v>3134</v>
      </c>
      <c r="E705" s="18" t="s">
        <v>42</v>
      </c>
      <c r="F705" s="21" t="s">
        <v>39</v>
      </c>
      <c r="G705" s="22" t="s">
        <v>920</v>
      </c>
      <c r="H705" s="22" t="s">
        <v>3135</v>
      </c>
      <c r="I705" s="22" t="s">
        <v>3136</v>
      </c>
      <c r="J705" s="18" t="s">
        <v>51</v>
      </c>
    </row>
    <row r="706" spans="1:10" ht="78.75" customHeight="1">
      <c r="A706" s="18" t="s">
        <v>3137</v>
      </c>
      <c r="B706" s="18" t="s">
        <v>432</v>
      </c>
      <c r="C706" s="19" t="s">
        <v>27</v>
      </c>
      <c r="D706" s="19" t="s">
        <v>3138</v>
      </c>
      <c r="E706" s="18" t="s">
        <v>42</v>
      </c>
      <c r="F706" s="18" t="s">
        <v>39</v>
      </c>
      <c r="G706" s="19" t="s">
        <v>920</v>
      </c>
      <c r="H706" s="19" t="s">
        <v>3139</v>
      </c>
      <c r="I706" s="19" t="s">
        <v>3140</v>
      </c>
      <c r="J706" s="18" t="s">
        <v>51</v>
      </c>
    </row>
    <row r="707" spans="1:10" ht="48.75" customHeight="1">
      <c r="A707" s="21" t="s">
        <v>3141</v>
      </c>
      <c r="B707" s="21" t="s">
        <v>432</v>
      </c>
      <c r="C707" s="22" t="s">
        <v>27</v>
      </c>
      <c r="D707" s="22" t="s">
        <v>3142</v>
      </c>
      <c r="E707" s="18" t="s">
        <v>46</v>
      </c>
      <c r="F707" s="21" t="s">
        <v>39</v>
      </c>
      <c r="G707" s="22" t="s">
        <v>823</v>
      </c>
      <c r="H707" s="22" t="s">
        <v>3143</v>
      </c>
      <c r="I707" s="22" t="s">
        <v>958</v>
      </c>
      <c r="J707" s="18" t="s">
        <v>51</v>
      </c>
    </row>
    <row r="708" spans="1:10" ht="48.75" customHeight="1">
      <c r="A708" s="18" t="s">
        <v>3144</v>
      </c>
      <c r="B708" s="18" t="s">
        <v>432</v>
      </c>
      <c r="C708" s="19" t="s">
        <v>27</v>
      </c>
      <c r="D708" s="19" t="s">
        <v>3145</v>
      </c>
      <c r="E708" s="18" t="s">
        <v>46</v>
      </c>
      <c r="F708" s="18" t="s">
        <v>39</v>
      </c>
      <c r="G708" s="19" t="s">
        <v>961</v>
      </c>
      <c r="H708" s="19" t="s">
        <v>3146</v>
      </c>
      <c r="I708" s="19" t="s">
        <v>958</v>
      </c>
      <c r="J708" s="18" t="s">
        <v>51</v>
      </c>
    </row>
    <row r="709" spans="1:10" ht="48.75" customHeight="1">
      <c r="A709" s="21" t="s">
        <v>3147</v>
      </c>
      <c r="B709" s="21" t="s">
        <v>432</v>
      </c>
      <c r="C709" s="22" t="s">
        <v>27</v>
      </c>
      <c r="D709" s="22" t="s">
        <v>3148</v>
      </c>
      <c r="E709" s="18" t="s">
        <v>46</v>
      </c>
      <c r="F709" s="21" t="s">
        <v>39</v>
      </c>
      <c r="G709" s="22" t="s">
        <v>828</v>
      </c>
      <c r="H709" s="22" t="s">
        <v>3149</v>
      </c>
      <c r="I709" s="22" t="s">
        <v>958</v>
      </c>
      <c r="J709" s="18" t="s">
        <v>51</v>
      </c>
    </row>
    <row r="710" spans="1:10" ht="78.75" customHeight="1">
      <c r="A710" s="18" t="s">
        <v>3150</v>
      </c>
      <c r="B710" s="18" t="s">
        <v>436</v>
      </c>
      <c r="C710" s="19" t="s">
        <v>27</v>
      </c>
      <c r="D710" s="19" t="s">
        <v>3151</v>
      </c>
      <c r="E710" s="18" t="s">
        <v>42</v>
      </c>
      <c r="F710" s="18" t="s">
        <v>33</v>
      </c>
      <c r="G710" s="19" t="s">
        <v>920</v>
      </c>
      <c r="H710" s="19" t="s">
        <v>3152</v>
      </c>
      <c r="I710" s="19" t="s">
        <v>3153</v>
      </c>
      <c r="J710" s="18" t="s">
        <v>51</v>
      </c>
    </row>
    <row r="711" spans="1:10" ht="78.75" customHeight="1">
      <c r="A711" s="21" t="s">
        <v>3154</v>
      </c>
      <c r="B711" s="21" t="s">
        <v>436</v>
      </c>
      <c r="C711" s="22" t="s">
        <v>27</v>
      </c>
      <c r="D711" s="22" t="s">
        <v>3155</v>
      </c>
      <c r="E711" s="18" t="s">
        <v>42</v>
      </c>
      <c r="F711" s="21" t="s">
        <v>33</v>
      </c>
      <c r="G711" s="22" t="s">
        <v>920</v>
      </c>
      <c r="H711" s="22" t="s">
        <v>3156</v>
      </c>
      <c r="I711" s="22" t="s">
        <v>3157</v>
      </c>
      <c r="J711" s="18" t="s">
        <v>51</v>
      </c>
    </row>
    <row r="712" spans="1:10" ht="78.75" customHeight="1">
      <c r="A712" s="18" t="s">
        <v>3158</v>
      </c>
      <c r="B712" s="18" t="s">
        <v>436</v>
      </c>
      <c r="C712" s="19" t="s">
        <v>27</v>
      </c>
      <c r="D712" s="19" t="s">
        <v>3159</v>
      </c>
      <c r="E712" s="18" t="s">
        <v>42</v>
      </c>
      <c r="F712" s="18" t="s">
        <v>33</v>
      </c>
      <c r="G712" s="19" t="s">
        <v>920</v>
      </c>
      <c r="H712" s="19" t="s">
        <v>3160</v>
      </c>
      <c r="I712" s="19" t="s">
        <v>3161</v>
      </c>
      <c r="J712" s="18" t="s">
        <v>51</v>
      </c>
    </row>
    <row r="713" spans="1:10" ht="48.75" customHeight="1">
      <c r="A713" s="21" t="s">
        <v>3162</v>
      </c>
      <c r="B713" s="21" t="s">
        <v>436</v>
      </c>
      <c r="C713" s="22" t="s">
        <v>27</v>
      </c>
      <c r="D713" s="22" t="s">
        <v>3163</v>
      </c>
      <c r="E713" s="18" t="s">
        <v>46</v>
      </c>
      <c r="F713" s="21" t="s">
        <v>33</v>
      </c>
      <c r="G713" s="22" t="s">
        <v>823</v>
      </c>
      <c r="H713" s="22" t="s">
        <v>3164</v>
      </c>
      <c r="I713" s="22" t="s">
        <v>958</v>
      </c>
      <c r="J713" s="18" t="s">
        <v>51</v>
      </c>
    </row>
    <row r="714" spans="1:10" ht="48.75" customHeight="1">
      <c r="A714" s="18" t="s">
        <v>3165</v>
      </c>
      <c r="B714" s="18" t="s">
        <v>436</v>
      </c>
      <c r="C714" s="19" t="s">
        <v>27</v>
      </c>
      <c r="D714" s="19" t="s">
        <v>3166</v>
      </c>
      <c r="E714" s="18" t="s">
        <v>46</v>
      </c>
      <c r="F714" s="18" t="s">
        <v>33</v>
      </c>
      <c r="G714" s="19" t="s">
        <v>961</v>
      </c>
      <c r="H714" s="19" t="s">
        <v>3167</v>
      </c>
      <c r="I714" s="19" t="s">
        <v>958</v>
      </c>
      <c r="J714" s="18" t="s">
        <v>51</v>
      </c>
    </row>
    <row r="715" spans="1:10" ht="48.75" customHeight="1">
      <c r="A715" s="21" t="s">
        <v>3168</v>
      </c>
      <c r="B715" s="21" t="s">
        <v>436</v>
      </c>
      <c r="C715" s="22" t="s">
        <v>27</v>
      </c>
      <c r="D715" s="22" t="s">
        <v>3169</v>
      </c>
      <c r="E715" s="18" t="s">
        <v>46</v>
      </c>
      <c r="F715" s="21" t="s">
        <v>33</v>
      </c>
      <c r="G715" s="22" t="s">
        <v>828</v>
      </c>
      <c r="H715" s="22" t="s">
        <v>3170</v>
      </c>
      <c r="I715" s="22" t="s">
        <v>958</v>
      </c>
      <c r="J715" s="18" t="s">
        <v>51</v>
      </c>
    </row>
    <row r="716" spans="1:10" ht="78.75" customHeight="1">
      <c r="A716" s="18" t="s">
        <v>3171</v>
      </c>
      <c r="B716" s="18" t="s">
        <v>440</v>
      </c>
      <c r="C716" s="19" t="s">
        <v>27</v>
      </c>
      <c r="D716" s="19" t="s">
        <v>3172</v>
      </c>
      <c r="E716" s="18" t="s">
        <v>42</v>
      </c>
      <c r="F716" s="18" t="s">
        <v>33</v>
      </c>
      <c r="G716" s="19" t="s">
        <v>920</v>
      </c>
      <c r="H716" s="19" t="s">
        <v>3173</v>
      </c>
      <c r="I716" s="19" t="s">
        <v>3174</v>
      </c>
      <c r="J716" s="18" t="s">
        <v>51</v>
      </c>
    </row>
    <row r="717" spans="1:10" ht="78.75" customHeight="1">
      <c r="A717" s="21" t="s">
        <v>3175</v>
      </c>
      <c r="B717" s="21" t="s">
        <v>440</v>
      </c>
      <c r="C717" s="22" t="s">
        <v>27</v>
      </c>
      <c r="D717" s="22" t="s">
        <v>3176</v>
      </c>
      <c r="E717" s="18" t="s">
        <v>42</v>
      </c>
      <c r="F717" s="21" t="s">
        <v>33</v>
      </c>
      <c r="G717" s="22" t="s">
        <v>920</v>
      </c>
      <c r="H717" s="22" t="s">
        <v>3177</v>
      </c>
      <c r="I717" s="22" t="s">
        <v>3178</v>
      </c>
      <c r="J717" s="18" t="s">
        <v>51</v>
      </c>
    </row>
    <row r="718" spans="1:10" ht="78.75" customHeight="1">
      <c r="A718" s="18" t="s">
        <v>3179</v>
      </c>
      <c r="B718" s="18" t="s">
        <v>440</v>
      </c>
      <c r="C718" s="19" t="s">
        <v>27</v>
      </c>
      <c r="D718" s="19" t="s">
        <v>3180</v>
      </c>
      <c r="E718" s="18" t="s">
        <v>42</v>
      </c>
      <c r="F718" s="18" t="s">
        <v>33</v>
      </c>
      <c r="G718" s="19" t="s">
        <v>920</v>
      </c>
      <c r="H718" s="19" t="s">
        <v>3181</v>
      </c>
      <c r="I718" s="19" t="s">
        <v>3182</v>
      </c>
      <c r="J718" s="18" t="s">
        <v>51</v>
      </c>
    </row>
    <row r="719" spans="1:10" ht="48.75" customHeight="1">
      <c r="A719" s="21" t="s">
        <v>3183</v>
      </c>
      <c r="B719" s="21" t="s">
        <v>440</v>
      </c>
      <c r="C719" s="22" t="s">
        <v>27</v>
      </c>
      <c r="D719" s="22" t="s">
        <v>3184</v>
      </c>
      <c r="E719" s="18" t="s">
        <v>46</v>
      </c>
      <c r="F719" s="21" t="s">
        <v>33</v>
      </c>
      <c r="G719" s="22" t="s">
        <v>823</v>
      </c>
      <c r="H719" s="22" t="s">
        <v>3185</v>
      </c>
      <c r="I719" s="22" t="s">
        <v>958</v>
      </c>
      <c r="J719" s="18" t="s">
        <v>51</v>
      </c>
    </row>
    <row r="720" spans="1:10" ht="48.75" customHeight="1">
      <c r="A720" s="18" t="s">
        <v>3186</v>
      </c>
      <c r="B720" s="18" t="s">
        <v>440</v>
      </c>
      <c r="C720" s="19" t="s">
        <v>27</v>
      </c>
      <c r="D720" s="19" t="s">
        <v>3187</v>
      </c>
      <c r="E720" s="18" t="s">
        <v>46</v>
      </c>
      <c r="F720" s="18" t="s">
        <v>33</v>
      </c>
      <c r="G720" s="19" t="s">
        <v>961</v>
      </c>
      <c r="H720" s="19" t="s">
        <v>3188</v>
      </c>
      <c r="I720" s="19" t="s">
        <v>958</v>
      </c>
      <c r="J720" s="18" t="s">
        <v>51</v>
      </c>
    </row>
    <row r="721" spans="1:10" ht="48.75" customHeight="1">
      <c r="A721" s="21" t="s">
        <v>3189</v>
      </c>
      <c r="B721" s="21" t="s">
        <v>440</v>
      </c>
      <c r="C721" s="22" t="s">
        <v>27</v>
      </c>
      <c r="D721" s="22" t="s">
        <v>3190</v>
      </c>
      <c r="E721" s="18" t="s">
        <v>46</v>
      </c>
      <c r="F721" s="21" t="s">
        <v>33</v>
      </c>
      <c r="G721" s="22" t="s">
        <v>828</v>
      </c>
      <c r="H721" s="22" t="s">
        <v>3191</v>
      </c>
      <c r="I721" s="22" t="s">
        <v>958</v>
      </c>
      <c r="J721" s="18" t="s">
        <v>51</v>
      </c>
    </row>
    <row r="722" spans="1:10" ht="78.75" customHeight="1">
      <c r="A722" s="18" t="s">
        <v>3192</v>
      </c>
      <c r="B722" s="18" t="s">
        <v>444</v>
      </c>
      <c r="C722" s="19" t="s">
        <v>27</v>
      </c>
      <c r="D722" s="19" t="s">
        <v>3193</v>
      </c>
      <c r="E722" s="18" t="s">
        <v>42</v>
      </c>
      <c r="F722" s="18" t="s">
        <v>37</v>
      </c>
      <c r="G722" s="19" t="s">
        <v>920</v>
      </c>
      <c r="H722" s="19" t="s">
        <v>3194</v>
      </c>
      <c r="I722" s="19" t="s">
        <v>3195</v>
      </c>
      <c r="J722" s="18" t="s">
        <v>51</v>
      </c>
    </row>
    <row r="723" spans="1:10" ht="78.75" customHeight="1">
      <c r="A723" s="21" t="s">
        <v>3196</v>
      </c>
      <c r="B723" s="21" t="s">
        <v>444</v>
      </c>
      <c r="C723" s="22" t="s">
        <v>27</v>
      </c>
      <c r="D723" s="22" t="s">
        <v>3197</v>
      </c>
      <c r="E723" s="18" t="s">
        <v>42</v>
      </c>
      <c r="F723" s="21" t="s">
        <v>37</v>
      </c>
      <c r="G723" s="22" t="s">
        <v>920</v>
      </c>
      <c r="H723" s="22" t="s">
        <v>3198</v>
      </c>
      <c r="I723" s="22" t="s">
        <v>3199</v>
      </c>
      <c r="J723" s="18" t="s">
        <v>51</v>
      </c>
    </row>
    <row r="724" spans="1:10" ht="78.75" customHeight="1">
      <c r="A724" s="18" t="s">
        <v>3200</v>
      </c>
      <c r="B724" s="18" t="s">
        <v>444</v>
      </c>
      <c r="C724" s="19" t="s">
        <v>27</v>
      </c>
      <c r="D724" s="19" t="s">
        <v>3201</v>
      </c>
      <c r="E724" s="18" t="s">
        <v>42</v>
      </c>
      <c r="F724" s="18" t="s">
        <v>37</v>
      </c>
      <c r="G724" s="19" t="s">
        <v>920</v>
      </c>
      <c r="H724" s="19" t="s">
        <v>3202</v>
      </c>
      <c r="I724" s="19" t="s">
        <v>3203</v>
      </c>
      <c r="J724" s="18" t="s">
        <v>51</v>
      </c>
    </row>
    <row r="725" spans="1:10" ht="48.75" customHeight="1">
      <c r="A725" s="21" t="s">
        <v>3204</v>
      </c>
      <c r="B725" s="21" t="s">
        <v>444</v>
      </c>
      <c r="C725" s="22" t="s">
        <v>27</v>
      </c>
      <c r="D725" s="22" t="s">
        <v>3205</v>
      </c>
      <c r="E725" s="18" t="s">
        <v>46</v>
      </c>
      <c r="F725" s="21" t="s">
        <v>37</v>
      </c>
      <c r="G725" s="22" t="s">
        <v>823</v>
      </c>
      <c r="H725" s="22" t="s">
        <v>3206</v>
      </c>
      <c r="I725" s="22" t="s">
        <v>958</v>
      </c>
      <c r="J725" s="18" t="s">
        <v>51</v>
      </c>
    </row>
    <row r="726" spans="1:10" ht="48.75" customHeight="1">
      <c r="A726" s="18" t="s">
        <v>3207</v>
      </c>
      <c r="B726" s="18" t="s">
        <v>444</v>
      </c>
      <c r="C726" s="19" t="s">
        <v>27</v>
      </c>
      <c r="D726" s="19" t="s">
        <v>3208</v>
      </c>
      <c r="E726" s="18" t="s">
        <v>46</v>
      </c>
      <c r="F726" s="18" t="s">
        <v>37</v>
      </c>
      <c r="G726" s="19" t="s">
        <v>961</v>
      </c>
      <c r="H726" s="19" t="s">
        <v>3209</v>
      </c>
      <c r="I726" s="19" t="s">
        <v>958</v>
      </c>
      <c r="J726" s="18" t="s">
        <v>51</v>
      </c>
    </row>
    <row r="727" spans="1:10" ht="48.75" customHeight="1">
      <c r="A727" s="21" t="s">
        <v>3210</v>
      </c>
      <c r="B727" s="21" t="s">
        <v>444</v>
      </c>
      <c r="C727" s="22" t="s">
        <v>27</v>
      </c>
      <c r="D727" s="22" t="s">
        <v>3211</v>
      </c>
      <c r="E727" s="18" t="s">
        <v>46</v>
      </c>
      <c r="F727" s="21" t="s">
        <v>37</v>
      </c>
      <c r="G727" s="22" t="s">
        <v>828</v>
      </c>
      <c r="H727" s="22" t="s">
        <v>3212</v>
      </c>
      <c r="I727" s="22" t="s">
        <v>958</v>
      </c>
      <c r="J727" s="18" t="s">
        <v>51</v>
      </c>
    </row>
    <row r="728" spans="1:10" ht="78.75" customHeight="1">
      <c r="A728" s="18" t="s">
        <v>3213</v>
      </c>
      <c r="B728" s="18" t="s">
        <v>444</v>
      </c>
      <c r="C728" s="19" t="s">
        <v>27</v>
      </c>
      <c r="D728" s="19" t="s">
        <v>3214</v>
      </c>
      <c r="E728" s="18" t="s">
        <v>44</v>
      </c>
      <c r="F728" s="18" t="s">
        <v>37</v>
      </c>
      <c r="G728" s="19" t="s">
        <v>920</v>
      </c>
      <c r="H728" s="19" t="s">
        <v>1364</v>
      </c>
      <c r="I728" s="19" t="s">
        <v>1284</v>
      </c>
      <c r="J728" s="18" t="s">
        <v>51</v>
      </c>
    </row>
    <row r="729" spans="1:10" ht="78.75" customHeight="1">
      <c r="A729" s="21" t="s">
        <v>3215</v>
      </c>
      <c r="B729" s="21" t="s">
        <v>444</v>
      </c>
      <c r="C729" s="22" t="s">
        <v>27</v>
      </c>
      <c r="D729" s="22" t="s">
        <v>3216</v>
      </c>
      <c r="E729" s="18" t="s">
        <v>42</v>
      </c>
      <c r="F729" s="21" t="s">
        <v>37</v>
      </c>
      <c r="G729" s="22" t="s">
        <v>920</v>
      </c>
      <c r="H729" s="22" t="s">
        <v>1367</v>
      </c>
      <c r="I729" s="22" t="s">
        <v>1288</v>
      </c>
      <c r="J729" s="18" t="s">
        <v>51</v>
      </c>
    </row>
    <row r="730" spans="1:10" ht="93.75" customHeight="1">
      <c r="A730" s="18" t="s">
        <v>3217</v>
      </c>
      <c r="B730" s="18" t="s">
        <v>448</v>
      </c>
      <c r="C730" s="19" t="s">
        <v>27</v>
      </c>
      <c r="D730" s="19" t="s">
        <v>3218</v>
      </c>
      <c r="E730" s="18" t="s">
        <v>42</v>
      </c>
      <c r="F730" s="18" t="s">
        <v>33</v>
      </c>
      <c r="G730" s="19" t="s">
        <v>2830</v>
      </c>
      <c r="H730" s="19" t="s">
        <v>3219</v>
      </c>
      <c r="I730" s="19" t="s">
        <v>3220</v>
      </c>
      <c r="J730" s="18" t="s">
        <v>51</v>
      </c>
    </row>
    <row r="731" spans="1:10" ht="93.75" customHeight="1">
      <c r="A731" s="21" t="s">
        <v>3221</v>
      </c>
      <c r="B731" s="21" t="s">
        <v>448</v>
      </c>
      <c r="C731" s="22" t="s">
        <v>27</v>
      </c>
      <c r="D731" s="22" t="s">
        <v>3222</v>
      </c>
      <c r="E731" s="18" t="s">
        <v>42</v>
      </c>
      <c r="F731" s="21" t="s">
        <v>33</v>
      </c>
      <c r="G731" s="22" t="s">
        <v>2830</v>
      </c>
      <c r="H731" s="22" t="s">
        <v>3223</v>
      </c>
      <c r="I731" s="22" t="s">
        <v>3224</v>
      </c>
      <c r="J731" s="18" t="s">
        <v>51</v>
      </c>
    </row>
    <row r="732" spans="1:10" ht="93.75" customHeight="1">
      <c r="A732" s="18" t="s">
        <v>3225</v>
      </c>
      <c r="B732" s="18" t="s">
        <v>448</v>
      </c>
      <c r="C732" s="19" t="s">
        <v>27</v>
      </c>
      <c r="D732" s="19" t="s">
        <v>3226</v>
      </c>
      <c r="E732" s="18" t="s">
        <v>42</v>
      </c>
      <c r="F732" s="18" t="s">
        <v>33</v>
      </c>
      <c r="G732" s="19" t="s">
        <v>2830</v>
      </c>
      <c r="H732" s="19" t="s">
        <v>3227</v>
      </c>
      <c r="I732" s="19" t="s">
        <v>3228</v>
      </c>
      <c r="J732" s="18" t="s">
        <v>51</v>
      </c>
    </row>
    <row r="733" spans="1:10" ht="93.75" customHeight="1">
      <c r="A733" s="21" t="s">
        <v>3229</v>
      </c>
      <c r="B733" s="21" t="s">
        <v>448</v>
      </c>
      <c r="C733" s="22" t="s">
        <v>27</v>
      </c>
      <c r="D733" s="22" t="s">
        <v>3230</v>
      </c>
      <c r="E733" s="18" t="s">
        <v>42</v>
      </c>
      <c r="F733" s="21" t="s">
        <v>33</v>
      </c>
      <c r="G733" s="22" t="s">
        <v>2830</v>
      </c>
      <c r="H733" s="22" t="s">
        <v>3231</v>
      </c>
      <c r="I733" s="22" t="s">
        <v>3232</v>
      </c>
      <c r="J733" s="18" t="s">
        <v>51</v>
      </c>
    </row>
    <row r="734" spans="1:10" ht="93.75" customHeight="1">
      <c r="A734" s="18" t="s">
        <v>3233</v>
      </c>
      <c r="B734" s="18" t="s">
        <v>448</v>
      </c>
      <c r="C734" s="19" t="s">
        <v>27</v>
      </c>
      <c r="D734" s="19" t="s">
        <v>3234</v>
      </c>
      <c r="E734" s="18" t="s">
        <v>42</v>
      </c>
      <c r="F734" s="18" t="s">
        <v>33</v>
      </c>
      <c r="G734" s="19" t="s">
        <v>2830</v>
      </c>
      <c r="H734" s="19" t="s">
        <v>3235</v>
      </c>
      <c r="I734" s="19" t="s">
        <v>3236</v>
      </c>
      <c r="J734" s="18" t="s">
        <v>51</v>
      </c>
    </row>
    <row r="735" spans="1:10" ht="93.75" customHeight="1">
      <c r="A735" s="21" t="s">
        <v>3237</v>
      </c>
      <c r="B735" s="21" t="s">
        <v>448</v>
      </c>
      <c r="C735" s="22" t="s">
        <v>27</v>
      </c>
      <c r="D735" s="22" t="s">
        <v>3238</v>
      </c>
      <c r="E735" s="18" t="s">
        <v>42</v>
      </c>
      <c r="F735" s="21" t="s">
        <v>33</v>
      </c>
      <c r="G735" s="22" t="s">
        <v>2830</v>
      </c>
      <c r="H735" s="22" t="s">
        <v>3239</v>
      </c>
      <c r="I735" s="22" t="s">
        <v>3240</v>
      </c>
      <c r="J735" s="18" t="s">
        <v>51</v>
      </c>
    </row>
    <row r="736" spans="1:10" ht="93.75" customHeight="1">
      <c r="A736" s="18" t="s">
        <v>3241</v>
      </c>
      <c r="B736" s="18" t="s">
        <v>448</v>
      </c>
      <c r="C736" s="19" t="s">
        <v>27</v>
      </c>
      <c r="D736" s="19" t="s">
        <v>3242</v>
      </c>
      <c r="E736" s="18" t="s">
        <v>42</v>
      </c>
      <c r="F736" s="18" t="s">
        <v>33</v>
      </c>
      <c r="G736" s="19" t="s">
        <v>2830</v>
      </c>
      <c r="H736" s="19" t="s">
        <v>3243</v>
      </c>
      <c r="I736" s="19" t="s">
        <v>808</v>
      </c>
      <c r="J736" s="18" t="s">
        <v>51</v>
      </c>
    </row>
    <row r="737" spans="1:10" ht="63.75" customHeight="1">
      <c r="A737" s="21" t="s">
        <v>3244</v>
      </c>
      <c r="B737" s="21" t="s">
        <v>448</v>
      </c>
      <c r="C737" s="22" t="s">
        <v>27</v>
      </c>
      <c r="D737" s="22" t="s">
        <v>3245</v>
      </c>
      <c r="E737" s="18" t="s">
        <v>46</v>
      </c>
      <c r="F737" s="21" t="s">
        <v>33</v>
      </c>
      <c r="G737" s="22" t="s">
        <v>2830</v>
      </c>
      <c r="H737" s="22" t="s">
        <v>3246</v>
      </c>
      <c r="I737" s="22" t="s">
        <v>812</v>
      </c>
      <c r="J737" s="18" t="s">
        <v>51</v>
      </c>
    </row>
    <row r="738" spans="1:10" ht="93.75" customHeight="1">
      <c r="A738" s="18" t="s">
        <v>3247</v>
      </c>
      <c r="B738" s="18" t="s">
        <v>448</v>
      </c>
      <c r="C738" s="19" t="s">
        <v>27</v>
      </c>
      <c r="D738" s="19" t="s">
        <v>3248</v>
      </c>
      <c r="E738" s="18" t="s">
        <v>44</v>
      </c>
      <c r="F738" s="18" t="s">
        <v>33</v>
      </c>
      <c r="G738" s="19" t="s">
        <v>2830</v>
      </c>
      <c r="H738" s="19" t="s">
        <v>3249</v>
      </c>
      <c r="I738" s="19" t="s">
        <v>816</v>
      </c>
      <c r="J738" s="18" t="s">
        <v>51</v>
      </c>
    </row>
    <row r="739" spans="1:10" ht="93.75" customHeight="1">
      <c r="A739" s="21" t="s">
        <v>3250</v>
      </c>
      <c r="B739" s="21" t="s">
        <v>448</v>
      </c>
      <c r="C739" s="22" t="s">
        <v>27</v>
      </c>
      <c r="D739" s="22" t="s">
        <v>3251</v>
      </c>
      <c r="E739" s="18" t="s">
        <v>44</v>
      </c>
      <c r="F739" s="21" t="s">
        <v>33</v>
      </c>
      <c r="G739" s="22" t="s">
        <v>2830</v>
      </c>
      <c r="H739" s="22" t="s">
        <v>3252</v>
      </c>
      <c r="I739" s="22" t="s">
        <v>820</v>
      </c>
      <c r="J739" s="18" t="s">
        <v>51</v>
      </c>
    </row>
    <row r="740" spans="1:10" ht="63.75" customHeight="1">
      <c r="A740" s="18" t="s">
        <v>3253</v>
      </c>
      <c r="B740" s="18" t="s">
        <v>448</v>
      </c>
      <c r="C740" s="19" t="s">
        <v>27</v>
      </c>
      <c r="D740" s="19" t="s">
        <v>3254</v>
      </c>
      <c r="E740" s="18" t="s">
        <v>46</v>
      </c>
      <c r="F740" s="18" t="s">
        <v>33</v>
      </c>
      <c r="G740" s="19" t="s">
        <v>823</v>
      </c>
      <c r="H740" s="19" t="s">
        <v>3255</v>
      </c>
      <c r="I740" s="19" t="s">
        <v>2891</v>
      </c>
      <c r="J740" s="18" t="s">
        <v>51</v>
      </c>
    </row>
    <row r="741" spans="1:10" ht="63.75" customHeight="1">
      <c r="A741" s="21" t="s">
        <v>3256</v>
      </c>
      <c r="B741" s="21" t="s">
        <v>448</v>
      </c>
      <c r="C741" s="22" t="s">
        <v>27</v>
      </c>
      <c r="D741" s="22" t="s">
        <v>3257</v>
      </c>
      <c r="E741" s="18" t="s">
        <v>46</v>
      </c>
      <c r="F741" s="21" t="s">
        <v>33</v>
      </c>
      <c r="G741" s="22" t="s">
        <v>961</v>
      </c>
      <c r="H741" s="22" t="s">
        <v>3258</v>
      </c>
      <c r="I741" s="22" t="s">
        <v>2891</v>
      </c>
      <c r="J741" s="18" t="s">
        <v>51</v>
      </c>
    </row>
    <row r="742" spans="1:10" ht="63.75" customHeight="1">
      <c r="A742" s="18" t="s">
        <v>3259</v>
      </c>
      <c r="B742" s="18" t="s">
        <v>448</v>
      </c>
      <c r="C742" s="19" t="s">
        <v>27</v>
      </c>
      <c r="D742" s="19" t="s">
        <v>3260</v>
      </c>
      <c r="E742" s="18" t="s">
        <v>46</v>
      </c>
      <c r="F742" s="18" t="s">
        <v>33</v>
      </c>
      <c r="G742" s="19" t="s">
        <v>828</v>
      </c>
      <c r="H742" s="19" t="s">
        <v>3261</v>
      </c>
      <c r="I742" s="19" t="s">
        <v>2891</v>
      </c>
      <c r="J742" s="18" t="s">
        <v>51</v>
      </c>
    </row>
    <row r="743" spans="1:10" ht="78.75" customHeight="1">
      <c r="A743" s="21" t="s">
        <v>3262</v>
      </c>
      <c r="B743" s="21" t="s">
        <v>448</v>
      </c>
      <c r="C743" s="22" t="s">
        <v>27</v>
      </c>
      <c r="D743" s="22" t="s">
        <v>3263</v>
      </c>
      <c r="E743" s="18" t="s">
        <v>44</v>
      </c>
      <c r="F743" s="21" t="s">
        <v>33</v>
      </c>
      <c r="G743" s="22" t="s">
        <v>2830</v>
      </c>
      <c r="H743" s="22" t="s">
        <v>2900</v>
      </c>
      <c r="I743" s="22" t="s">
        <v>1284</v>
      </c>
      <c r="J743" s="18" t="s">
        <v>51</v>
      </c>
    </row>
    <row r="744" spans="1:10" ht="78.75" customHeight="1">
      <c r="A744" s="18" t="s">
        <v>3264</v>
      </c>
      <c r="B744" s="18" t="s">
        <v>448</v>
      </c>
      <c r="C744" s="19" t="s">
        <v>27</v>
      </c>
      <c r="D744" s="19" t="s">
        <v>3265</v>
      </c>
      <c r="E744" s="18" t="s">
        <v>42</v>
      </c>
      <c r="F744" s="18" t="s">
        <v>33</v>
      </c>
      <c r="G744" s="19" t="s">
        <v>2830</v>
      </c>
      <c r="H744" s="19" t="s">
        <v>2903</v>
      </c>
      <c r="I744" s="19" t="s">
        <v>1288</v>
      </c>
      <c r="J744" s="18" t="s">
        <v>51</v>
      </c>
    </row>
    <row r="745" spans="1:10" ht="78.75" customHeight="1">
      <c r="A745" s="21" t="s">
        <v>3266</v>
      </c>
      <c r="B745" s="21" t="s">
        <v>455</v>
      </c>
      <c r="C745" s="22" t="s">
        <v>27</v>
      </c>
      <c r="D745" s="22" t="s">
        <v>3267</v>
      </c>
      <c r="E745" s="18" t="s">
        <v>42</v>
      </c>
      <c r="F745" s="21" t="s">
        <v>35</v>
      </c>
      <c r="G745" s="22" t="s">
        <v>920</v>
      </c>
      <c r="H745" s="22" t="s">
        <v>3268</v>
      </c>
      <c r="I745" s="22" t="s">
        <v>3269</v>
      </c>
      <c r="J745" s="18" t="s">
        <v>51</v>
      </c>
    </row>
    <row r="746" spans="1:10" ht="78.75" customHeight="1">
      <c r="A746" s="18" t="s">
        <v>3270</v>
      </c>
      <c r="B746" s="18" t="s">
        <v>455</v>
      </c>
      <c r="C746" s="19" t="s">
        <v>27</v>
      </c>
      <c r="D746" s="19" t="s">
        <v>3271</v>
      </c>
      <c r="E746" s="18" t="s">
        <v>42</v>
      </c>
      <c r="F746" s="18" t="s">
        <v>35</v>
      </c>
      <c r="G746" s="19" t="s">
        <v>920</v>
      </c>
      <c r="H746" s="19" t="s">
        <v>3272</v>
      </c>
      <c r="I746" s="19" t="s">
        <v>3273</v>
      </c>
      <c r="J746" s="18" t="s">
        <v>51</v>
      </c>
    </row>
    <row r="747" spans="1:10" ht="78.75" customHeight="1">
      <c r="A747" s="21" t="s">
        <v>3274</v>
      </c>
      <c r="B747" s="21" t="s">
        <v>455</v>
      </c>
      <c r="C747" s="22" t="s">
        <v>27</v>
      </c>
      <c r="D747" s="22" t="s">
        <v>3275</v>
      </c>
      <c r="E747" s="18" t="s">
        <v>42</v>
      </c>
      <c r="F747" s="21" t="s">
        <v>35</v>
      </c>
      <c r="G747" s="22" t="s">
        <v>920</v>
      </c>
      <c r="H747" s="22" t="s">
        <v>3276</v>
      </c>
      <c r="I747" s="22" t="s">
        <v>3277</v>
      </c>
      <c r="J747" s="18" t="s">
        <v>51</v>
      </c>
    </row>
    <row r="748" spans="1:10" ht="48.75" customHeight="1">
      <c r="A748" s="18" t="s">
        <v>3278</v>
      </c>
      <c r="B748" s="18" t="s">
        <v>455</v>
      </c>
      <c r="C748" s="19" t="s">
        <v>27</v>
      </c>
      <c r="D748" s="19" t="s">
        <v>3279</v>
      </c>
      <c r="E748" s="18" t="s">
        <v>46</v>
      </c>
      <c r="F748" s="18" t="s">
        <v>35</v>
      </c>
      <c r="G748" s="19" t="s">
        <v>823</v>
      </c>
      <c r="H748" s="19" t="s">
        <v>3280</v>
      </c>
      <c r="I748" s="19" t="s">
        <v>958</v>
      </c>
      <c r="J748" s="18" t="s">
        <v>51</v>
      </c>
    </row>
    <row r="749" spans="1:10" ht="48.75" customHeight="1">
      <c r="A749" s="21" t="s">
        <v>3281</v>
      </c>
      <c r="B749" s="21" t="s">
        <v>455</v>
      </c>
      <c r="C749" s="22" t="s">
        <v>27</v>
      </c>
      <c r="D749" s="22" t="s">
        <v>3282</v>
      </c>
      <c r="E749" s="18" t="s">
        <v>46</v>
      </c>
      <c r="F749" s="21" t="s">
        <v>35</v>
      </c>
      <c r="G749" s="22" t="s">
        <v>961</v>
      </c>
      <c r="H749" s="22" t="s">
        <v>3283</v>
      </c>
      <c r="I749" s="22" t="s">
        <v>958</v>
      </c>
      <c r="J749" s="18" t="s">
        <v>51</v>
      </c>
    </row>
    <row r="750" spans="1:10" ht="48.75" customHeight="1">
      <c r="A750" s="18" t="s">
        <v>3284</v>
      </c>
      <c r="B750" s="18" t="s">
        <v>455</v>
      </c>
      <c r="C750" s="19" t="s">
        <v>27</v>
      </c>
      <c r="D750" s="19" t="s">
        <v>3285</v>
      </c>
      <c r="E750" s="18" t="s">
        <v>46</v>
      </c>
      <c r="F750" s="18" t="s">
        <v>35</v>
      </c>
      <c r="G750" s="19" t="s">
        <v>828</v>
      </c>
      <c r="H750" s="19" t="s">
        <v>3286</v>
      </c>
      <c r="I750" s="19" t="s">
        <v>958</v>
      </c>
      <c r="J750" s="18" t="s">
        <v>51</v>
      </c>
    </row>
    <row r="751" spans="1:10" ht="78.75" customHeight="1">
      <c r="A751" s="21" t="s">
        <v>3287</v>
      </c>
      <c r="B751" s="21" t="s">
        <v>459</v>
      </c>
      <c r="C751" s="22" t="s">
        <v>27</v>
      </c>
      <c r="D751" s="22" t="s">
        <v>3288</v>
      </c>
      <c r="E751" s="18" t="s">
        <v>42</v>
      </c>
      <c r="F751" s="21" t="s">
        <v>33</v>
      </c>
      <c r="G751" s="22" t="s">
        <v>920</v>
      </c>
      <c r="H751" s="22" t="s">
        <v>3289</v>
      </c>
      <c r="I751" s="22" t="s">
        <v>3290</v>
      </c>
      <c r="J751" s="18" t="s">
        <v>51</v>
      </c>
    </row>
    <row r="752" spans="1:10" ht="78.75" customHeight="1">
      <c r="A752" s="18" t="s">
        <v>3291</v>
      </c>
      <c r="B752" s="18" t="s">
        <v>459</v>
      </c>
      <c r="C752" s="19" t="s">
        <v>27</v>
      </c>
      <c r="D752" s="19" t="s">
        <v>3292</v>
      </c>
      <c r="E752" s="18" t="s">
        <v>42</v>
      </c>
      <c r="F752" s="18" t="s">
        <v>33</v>
      </c>
      <c r="G752" s="19" t="s">
        <v>920</v>
      </c>
      <c r="H752" s="19" t="s">
        <v>3293</v>
      </c>
      <c r="I752" s="19" t="s">
        <v>3294</v>
      </c>
      <c r="J752" s="18" t="s">
        <v>51</v>
      </c>
    </row>
    <row r="753" spans="1:10" ht="78.75" customHeight="1">
      <c r="A753" s="21" t="s">
        <v>3295</v>
      </c>
      <c r="B753" s="21" t="s">
        <v>459</v>
      </c>
      <c r="C753" s="22" t="s">
        <v>27</v>
      </c>
      <c r="D753" s="22" t="s">
        <v>3296</v>
      </c>
      <c r="E753" s="18" t="s">
        <v>42</v>
      </c>
      <c r="F753" s="21" t="s">
        <v>33</v>
      </c>
      <c r="G753" s="22" t="s">
        <v>920</v>
      </c>
      <c r="H753" s="22" t="s">
        <v>3297</v>
      </c>
      <c r="I753" s="22" t="s">
        <v>3298</v>
      </c>
      <c r="J753" s="18" t="s">
        <v>51</v>
      </c>
    </row>
    <row r="754" spans="1:10" ht="78.75" customHeight="1">
      <c r="A754" s="18" t="s">
        <v>3299</v>
      </c>
      <c r="B754" s="18" t="s">
        <v>459</v>
      </c>
      <c r="C754" s="19" t="s">
        <v>27</v>
      </c>
      <c r="D754" s="19" t="s">
        <v>3300</v>
      </c>
      <c r="E754" s="18" t="s">
        <v>42</v>
      </c>
      <c r="F754" s="18" t="s">
        <v>33</v>
      </c>
      <c r="G754" s="19" t="s">
        <v>920</v>
      </c>
      <c r="H754" s="19" t="s">
        <v>3301</v>
      </c>
      <c r="I754" s="19" t="s">
        <v>808</v>
      </c>
      <c r="J754" s="18" t="s">
        <v>51</v>
      </c>
    </row>
    <row r="755" spans="1:10" ht="48.75" customHeight="1">
      <c r="A755" s="21" t="s">
        <v>3302</v>
      </c>
      <c r="B755" s="21" t="s">
        <v>459</v>
      </c>
      <c r="C755" s="22" t="s">
        <v>27</v>
      </c>
      <c r="D755" s="22" t="s">
        <v>3303</v>
      </c>
      <c r="E755" s="18" t="s">
        <v>46</v>
      </c>
      <c r="F755" s="21" t="s">
        <v>33</v>
      </c>
      <c r="G755" s="22" t="s">
        <v>920</v>
      </c>
      <c r="H755" s="22" t="s">
        <v>3304</v>
      </c>
      <c r="I755" s="22" t="s">
        <v>812</v>
      </c>
      <c r="J755" s="18" t="s">
        <v>51</v>
      </c>
    </row>
    <row r="756" spans="1:10" ht="78.75" customHeight="1">
      <c r="A756" s="18" t="s">
        <v>3305</v>
      </c>
      <c r="B756" s="18" t="s">
        <v>459</v>
      </c>
      <c r="C756" s="19" t="s">
        <v>27</v>
      </c>
      <c r="D756" s="19" t="s">
        <v>3306</v>
      </c>
      <c r="E756" s="18" t="s">
        <v>44</v>
      </c>
      <c r="F756" s="18" t="s">
        <v>33</v>
      </c>
      <c r="G756" s="19" t="s">
        <v>920</v>
      </c>
      <c r="H756" s="19" t="s">
        <v>3307</v>
      </c>
      <c r="I756" s="19" t="s">
        <v>816</v>
      </c>
      <c r="J756" s="18" t="s">
        <v>51</v>
      </c>
    </row>
    <row r="757" spans="1:10" ht="78.75" customHeight="1">
      <c r="A757" s="21" t="s">
        <v>3308</v>
      </c>
      <c r="B757" s="21" t="s">
        <v>459</v>
      </c>
      <c r="C757" s="22" t="s">
        <v>27</v>
      </c>
      <c r="D757" s="22" t="s">
        <v>3309</v>
      </c>
      <c r="E757" s="18" t="s">
        <v>44</v>
      </c>
      <c r="F757" s="21" t="s">
        <v>33</v>
      </c>
      <c r="G757" s="22" t="s">
        <v>920</v>
      </c>
      <c r="H757" s="22" t="s">
        <v>3310</v>
      </c>
      <c r="I757" s="22" t="s">
        <v>820</v>
      </c>
      <c r="J757" s="18" t="s">
        <v>51</v>
      </c>
    </row>
    <row r="758" spans="1:10" ht="48.75" customHeight="1">
      <c r="A758" s="18" t="s">
        <v>3311</v>
      </c>
      <c r="B758" s="18" t="s">
        <v>459</v>
      </c>
      <c r="C758" s="19" t="s">
        <v>27</v>
      </c>
      <c r="D758" s="19" t="s">
        <v>3312</v>
      </c>
      <c r="E758" s="18" t="s">
        <v>46</v>
      </c>
      <c r="F758" s="18" t="s">
        <v>33</v>
      </c>
      <c r="G758" s="19" t="s">
        <v>823</v>
      </c>
      <c r="H758" s="19" t="s">
        <v>3313</v>
      </c>
      <c r="I758" s="19" t="s">
        <v>958</v>
      </c>
      <c r="J758" s="18" t="s">
        <v>51</v>
      </c>
    </row>
    <row r="759" spans="1:10" ht="48.75" customHeight="1">
      <c r="A759" s="21" t="s">
        <v>3314</v>
      </c>
      <c r="B759" s="21" t="s">
        <v>459</v>
      </c>
      <c r="C759" s="22" t="s">
        <v>27</v>
      </c>
      <c r="D759" s="22" t="s">
        <v>3315</v>
      </c>
      <c r="E759" s="18" t="s">
        <v>46</v>
      </c>
      <c r="F759" s="21" t="s">
        <v>33</v>
      </c>
      <c r="G759" s="22" t="s">
        <v>961</v>
      </c>
      <c r="H759" s="22" t="s">
        <v>3316</v>
      </c>
      <c r="I759" s="22" t="s">
        <v>958</v>
      </c>
      <c r="J759" s="18" t="s">
        <v>51</v>
      </c>
    </row>
    <row r="760" spans="1:10" ht="48.75" customHeight="1">
      <c r="A760" s="18" t="s">
        <v>3317</v>
      </c>
      <c r="B760" s="18" t="s">
        <v>459</v>
      </c>
      <c r="C760" s="19" t="s">
        <v>27</v>
      </c>
      <c r="D760" s="19" t="s">
        <v>3318</v>
      </c>
      <c r="E760" s="18" t="s">
        <v>46</v>
      </c>
      <c r="F760" s="18" t="s">
        <v>33</v>
      </c>
      <c r="G760" s="19" t="s">
        <v>828</v>
      </c>
      <c r="H760" s="19" t="s">
        <v>3319</v>
      </c>
      <c r="I760" s="19" t="s">
        <v>958</v>
      </c>
      <c r="J760" s="18" t="s">
        <v>51</v>
      </c>
    </row>
    <row r="761" spans="1:10" ht="93.75" customHeight="1">
      <c r="A761" s="21" t="s">
        <v>3320</v>
      </c>
      <c r="B761" s="21" t="s">
        <v>459</v>
      </c>
      <c r="C761" s="22" t="s">
        <v>27</v>
      </c>
      <c r="D761" s="22" t="s">
        <v>3321</v>
      </c>
      <c r="E761" s="18" t="s">
        <v>44</v>
      </c>
      <c r="F761" s="21" t="s">
        <v>33</v>
      </c>
      <c r="G761" s="22" t="s">
        <v>920</v>
      </c>
      <c r="H761" s="22" t="s">
        <v>1122</v>
      </c>
      <c r="I761" s="22" t="s">
        <v>833</v>
      </c>
      <c r="J761" s="18" t="s">
        <v>51</v>
      </c>
    </row>
    <row r="762" spans="1:10" ht="78.75" customHeight="1">
      <c r="A762" s="18" t="s">
        <v>3322</v>
      </c>
      <c r="B762" s="18" t="s">
        <v>464</v>
      </c>
      <c r="C762" s="19" t="s">
        <v>27</v>
      </c>
      <c r="D762" s="19" t="s">
        <v>3323</v>
      </c>
      <c r="E762" s="18" t="s">
        <v>42</v>
      </c>
      <c r="F762" s="18" t="s">
        <v>33</v>
      </c>
      <c r="G762" s="19" t="s">
        <v>920</v>
      </c>
      <c r="H762" s="19" t="s">
        <v>3324</v>
      </c>
      <c r="I762" s="19" t="s">
        <v>3325</v>
      </c>
      <c r="J762" s="18" t="s">
        <v>51</v>
      </c>
    </row>
    <row r="763" spans="1:10" ht="78.75" customHeight="1">
      <c r="A763" s="21" t="s">
        <v>3326</v>
      </c>
      <c r="B763" s="21" t="s">
        <v>464</v>
      </c>
      <c r="C763" s="22" t="s">
        <v>27</v>
      </c>
      <c r="D763" s="22" t="s">
        <v>3327</v>
      </c>
      <c r="E763" s="18" t="s">
        <v>42</v>
      </c>
      <c r="F763" s="21" t="s">
        <v>33</v>
      </c>
      <c r="G763" s="22" t="s">
        <v>920</v>
      </c>
      <c r="H763" s="22" t="s">
        <v>3328</v>
      </c>
      <c r="I763" s="22" t="s">
        <v>3329</v>
      </c>
      <c r="J763" s="18" t="s">
        <v>51</v>
      </c>
    </row>
    <row r="764" spans="1:10" ht="78.75" customHeight="1">
      <c r="A764" s="18" t="s">
        <v>3330</v>
      </c>
      <c r="B764" s="18" t="s">
        <v>464</v>
      </c>
      <c r="C764" s="19" t="s">
        <v>27</v>
      </c>
      <c r="D764" s="19" t="s">
        <v>3331</v>
      </c>
      <c r="E764" s="18" t="s">
        <v>42</v>
      </c>
      <c r="F764" s="18" t="s">
        <v>33</v>
      </c>
      <c r="G764" s="19" t="s">
        <v>920</v>
      </c>
      <c r="H764" s="19" t="s">
        <v>2269</v>
      </c>
      <c r="I764" s="19" t="s">
        <v>2270</v>
      </c>
      <c r="J764" s="18" t="s">
        <v>51</v>
      </c>
    </row>
    <row r="765" spans="1:10" ht="48.75" customHeight="1">
      <c r="A765" s="21" t="s">
        <v>3332</v>
      </c>
      <c r="B765" s="21" t="s">
        <v>464</v>
      </c>
      <c r="C765" s="22" t="s">
        <v>27</v>
      </c>
      <c r="D765" s="22" t="s">
        <v>3333</v>
      </c>
      <c r="E765" s="18" t="s">
        <v>46</v>
      </c>
      <c r="F765" s="21" t="s">
        <v>33</v>
      </c>
      <c r="G765" s="22" t="s">
        <v>823</v>
      </c>
      <c r="H765" s="22" t="s">
        <v>3334</v>
      </c>
      <c r="I765" s="22" t="s">
        <v>958</v>
      </c>
      <c r="J765" s="18" t="s">
        <v>51</v>
      </c>
    </row>
    <row r="766" spans="1:10" ht="48.75" customHeight="1">
      <c r="A766" s="18" t="s">
        <v>3335</v>
      </c>
      <c r="B766" s="18" t="s">
        <v>464</v>
      </c>
      <c r="C766" s="19" t="s">
        <v>27</v>
      </c>
      <c r="D766" s="19" t="s">
        <v>3336</v>
      </c>
      <c r="E766" s="18" t="s">
        <v>46</v>
      </c>
      <c r="F766" s="18" t="s">
        <v>33</v>
      </c>
      <c r="G766" s="19" t="s">
        <v>961</v>
      </c>
      <c r="H766" s="19" t="s">
        <v>3337</v>
      </c>
      <c r="I766" s="19" t="s">
        <v>958</v>
      </c>
      <c r="J766" s="18" t="s">
        <v>51</v>
      </c>
    </row>
    <row r="767" spans="1:10" ht="48.75" customHeight="1">
      <c r="A767" s="21" t="s">
        <v>3338</v>
      </c>
      <c r="B767" s="21" t="s">
        <v>464</v>
      </c>
      <c r="C767" s="22" t="s">
        <v>27</v>
      </c>
      <c r="D767" s="22" t="s">
        <v>3339</v>
      </c>
      <c r="E767" s="18" t="s">
        <v>46</v>
      </c>
      <c r="F767" s="21" t="s">
        <v>33</v>
      </c>
      <c r="G767" s="22" t="s">
        <v>828</v>
      </c>
      <c r="H767" s="22" t="s">
        <v>3340</v>
      </c>
      <c r="I767" s="22" t="s">
        <v>958</v>
      </c>
      <c r="J767" s="18" t="s">
        <v>51</v>
      </c>
    </row>
    <row r="768" spans="1:10" ht="78.75" customHeight="1">
      <c r="A768" s="18" t="s">
        <v>3341</v>
      </c>
      <c r="B768" s="18" t="s">
        <v>468</v>
      </c>
      <c r="C768" s="19" t="s">
        <v>27</v>
      </c>
      <c r="D768" s="19" t="s">
        <v>3342</v>
      </c>
      <c r="E768" s="18" t="s">
        <v>42</v>
      </c>
      <c r="F768" s="18" t="s">
        <v>33</v>
      </c>
      <c r="G768" s="19" t="s">
        <v>920</v>
      </c>
      <c r="H768" s="19" t="s">
        <v>3343</v>
      </c>
      <c r="I768" s="19" t="s">
        <v>3344</v>
      </c>
      <c r="J768" s="18" t="s">
        <v>51</v>
      </c>
    </row>
    <row r="769" spans="1:10" ht="78.75" customHeight="1">
      <c r="A769" s="21" t="s">
        <v>3345</v>
      </c>
      <c r="B769" s="21" t="s">
        <v>468</v>
      </c>
      <c r="C769" s="22" t="s">
        <v>27</v>
      </c>
      <c r="D769" s="22" t="s">
        <v>3346</v>
      </c>
      <c r="E769" s="18" t="s">
        <v>42</v>
      </c>
      <c r="F769" s="21" t="s">
        <v>33</v>
      </c>
      <c r="G769" s="22" t="s">
        <v>920</v>
      </c>
      <c r="H769" s="22" t="s">
        <v>3347</v>
      </c>
      <c r="I769" s="22" t="s">
        <v>3348</v>
      </c>
      <c r="J769" s="18" t="s">
        <v>51</v>
      </c>
    </row>
    <row r="770" spans="1:10" ht="78.75" customHeight="1">
      <c r="A770" s="18" t="s">
        <v>3349</v>
      </c>
      <c r="B770" s="18" t="s">
        <v>468</v>
      </c>
      <c r="C770" s="19" t="s">
        <v>27</v>
      </c>
      <c r="D770" s="19" t="s">
        <v>3350</v>
      </c>
      <c r="E770" s="18" t="s">
        <v>42</v>
      </c>
      <c r="F770" s="18" t="s">
        <v>33</v>
      </c>
      <c r="G770" s="19" t="s">
        <v>920</v>
      </c>
      <c r="H770" s="19" t="s">
        <v>3351</v>
      </c>
      <c r="I770" s="19" t="s">
        <v>3352</v>
      </c>
      <c r="J770" s="18" t="s">
        <v>51</v>
      </c>
    </row>
    <row r="771" spans="1:10" ht="48.75" customHeight="1">
      <c r="A771" s="21" t="s">
        <v>3353</v>
      </c>
      <c r="B771" s="21" t="s">
        <v>468</v>
      </c>
      <c r="C771" s="22" t="s">
        <v>27</v>
      </c>
      <c r="D771" s="22" t="s">
        <v>3354</v>
      </c>
      <c r="E771" s="18" t="s">
        <v>46</v>
      </c>
      <c r="F771" s="21" t="s">
        <v>33</v>
      </c>
      <c r="G771" s="22" t="s">
        <v>823</v>
      </c>
      <c r="H771" s="22" t="s">
        <v>3355</v>
      </c>
      <c r="I771" s="22" t="s">
        <v>958</v>
      </c>
      <c r="J771" s="18" t="s">
        <v>51</v>
      </c>
    </row>
    <row r="772" spans="1:10" ht="48.75" customHeight="1">
      <c r="A772" s="18" t="s">
        <v>3356</v>
      </c>
      <c r="B772" s="18" t="s">
        <v>468</v>
      </c>
      <c r="C772" s="19" t="s">
        <v>27</v>
      </c>
      <c r="D772" s="19" t="s">
        <v>3357</v>
      </c>
      <c r="E772" s="18" t="s">
        <v>46</v>
      </c>
      <c r="F772" s="18" t="s">
        <v>33</v>
      </c>
      <c r="G772" s="19" t="s">
        <v>961</v>
      </c>
      <c r="H772" s="19" t="s">
        <v>3358</v>
      </c>
      <c r="I772" s="19" t="s">
        <v>958</v>
      </c>
      <c r="J772" s="18" t="s">
        <v>51</v>
      </c>
    </row>
    <row r="773" spans="1:10" ht="48.75" customHeight="1">
      <c r="A773" s="21" t="s">
        <v>3359</v>
      </c>
      <c r="B773" s="21" t="s">
        <v>468</v>
      </c>
      <c r="C773" s="22" t="s">
        <v>27</v>
      </c>
      <c r="D773" s="22" t="s">
        <v>3360</v>
      </c>
      <c r="E773" s="18" t="s">
        <v>46</v>
      </c>
      <c r="F773" s="21" t="s">
        <v>33</v>
      </c>
      <c r="G773" s="22" t="s">
        <v>828</v>
      </c>
      <c r="H773" s="22" t="s">
        <v>3361</v>
      </c>
      <c r="I773" s="22" t="s">
        <v>958</v>
      </c>
      <c r="J773" s="18" t="s">
        <v>51</v>
      </c>
    </row>
    <row r="774" spans="1:10" ht="78.75" customHeight="1">
      <c r="A774" s="18" t="s">
        <v>3362</v>
      </c>
      <c r="B774" s="18" t="s">
        <v>472</v>
      </c>
      <c r="C774" s="19" t="s">
        <v>27</v>
      </c>
      <c r="D774" s="19" t="s">
        <v>3363</v>
      </c>
      <c r="E774" s="18" t="s">
        <v>42</v>
      </c>
      <c r="F774" s="18" t="s">
        <v>33</v>
      </c>
      <c r="G774" s="19" t="s">
        <v>920</v>
      </c>
      <c r="H774" s="19" t="s">
        <v>3364</v>
      </c>
      <c r="I774" s="19" t="s">
        <v>3365</v>
      </c>
      <c r="J774" s="18" t="s">
        <v>51</v>
      </c>
    </row>
    <row r="775" spans="1:10" ht="78.75" customHeight="1">
      <c r="A775" s="21" t="s">
        <v>3366</v>
      </c>
      <c r="B775" s="21" t="s">
        <v>472</v>
      </c>
      <c r="C775" s="22" t="s">
        <v>27</v>
      </c>
      <c r="D775" s="22" t="s">
        <v>3367</v>
      </c>
      <c r="E775" s="18" t="s">
        <v>42</v>
      </c>
      <c r="F775" s="21" t="s">
        <v>33</v>
      </c>
      <c r="G775" s="22" t="s">
        <v>920</v>
      </c>
      <c r="H775" s="22" t="s">
        <v>3368</v>
      </c>
      <c r="I775" s="22" t="s">
        <v>3369</v>
      </c>
      <c r="J775" s="18" t="s">
        <v>51</v>
      </c>
    </row>
    <row r="776" spans="1:10" ht="78.75" customHeight="1">
      <c r="A776" s="18" t="s">
        <v>3370</v>
      </c>
      <c r="B776" s="18" t="s">
        <v>472</v>
      </c>
      <c r="C776" s="19" t="s">
        <v>27</v>
      </c>
      <c r="D776" s="19" t="s">
        <v>3371</v>
      </c>
      <c r="E776" s="18" t="s">
        <v>44</v>
      </c>
      <c r="F776" s="18" t="s">
        <v>33</v>
      </c>
      <c r="G776" s="19" t="s">
        <v>920</v>
      </c>
      <c r="H776" s="19" t="s">
        <v>3372</v>
      </c>
      <c r="I776" s="19" t="s">
        <v>3373</v>
      </c>
      <c r="J776" s="18" t="s">
        <v>51</v>
      </c>
    </row>
    <row r="777" spans="1:10" ht="78.75" customHeight="1">
      <c r="A777" s="21" t="s">
        <v>3374</v>
      </c>
      <c r="B777" s="21" t="s">
        <v>472</v>
      </c>
      <c r="C777" s="22" t="s">
        <v>27</v>
      </c>
      <c r="D777" s="22" t="s">
        <v>3375</v>
      </c>
      <c r="E777" s="18" t="s">
        <v>42</v>
      </c>
      <c r="F777" s="21" t="s">
        <v>33</v>
      </c>
      <c r="G777" s="22" t="s">
        <v>920</v>
      </c>
      <c r="H777" s="22" t="s">
        <v>3376</v>
      </c>
      <c r="I777" s="22" t="s">
        <v>3377</v>
      </c>
      <c r="J777" s="18" t="s">
        <v>51</v>
      </c>
    </row>
    <row r="778" spans="1:10" ht="48.75" customHeight="1">
      <c r="A778" s="18" t="s">
        <v>3378</v>
      </c>
      <c r="B778" s="18" t="s">
        <v>472</v>
      </c>
      <c r="C778" s="19" t="s">
        <v>27</v>
      </c>
      <c r="D778" s="19" t="s">
        <v>3379</v>
      </c>
      <c r="E778" s="18" t="s">
        <v>46</v>
      </c>
      <c r="F778" s="18" t="s">
        <v>33</v>
      </c>
      <c r="G778" s="19" t="s">
        <v>823</v>
      </c>
      <c r="H778" s="19" t="s">
        <v>3380</v>
      </c>
      <c r="I778" s="19" t="s">
        <v>958</v>
      </c>
      <c r="J778" s="18" t="s">
        <v>51</v>
      </c>
    </row>
    <row r="779" spans="1:10" ht="48.75" customHeight="1">
      <c r="A779" s="21" t="s">
        <v>3381</v>
      </c>
      <c r="B779" s="21" t="s">
        <v>472</v>
      </c>
      <c r="C779" s="22" t="s">
        <v>27</v>
      </c>
      <c r="D779" s="22" t="s">
        <v>3382</v>
      </c>
      <c r="E779" s="18" t="s">
        <v>46</v>
      </c>
      <c r="F779" s="21" t="s">
        <v>33</v>
      </c>
      <c r="G779" s="22" t="s">
        <v>961</v>
      </c>
      <c r="H779" s="22" t="s">
        <v>3383</v>
      </c>
      <c r="I779" s="22" t="s">
        <v>958</v>
      </c>
      <c r="J779" s="18" t="s">
        <v>51</v>
      </c>
    </row>
    <row r="780" spans="1:10" ht="48.75" customHeight="1">
      <c r="A780" s="18" t="s">
        <v>3384</v>
      </c>
      <c r="B780" s="18" t="s">
        <v>472</v>
      </c>
      <c r="C780" s="19" t="s">
        <v>27</v>
      </c>
      <c r="D780" s="19" t="s">
        <v>3385</v>
      </c>
      <c r="E780" s="18" t="s">
        <v>46</v>
      </c>
      <c r="F780" s="18" t="s">
        <v>33</v>
      </c>
      <c r="G780" s="19" t="s">
        <v>828</v>
      </c>
      <c r="H780" s="19" t="s">
        <v>3386</v>
      </c>
      <c r="I780" s="19" t="s">
        <v>958</v>
      </c>
      <c r="J780" s="18" t="s">
        <v>51</v>
      </c>
    </row>
    <row r="781" spans="1:10" ht="78.75" customHeight="1">
      <c r="A781" s="21" t="s">
        <v>3387</v>
      </c>
      <c r="B781" s="21" t="s">
        <v>476</v>
      </c>
      <c r="C781" s="22" t="s">
        <v>27</v>
      </c>
      <c r="D781" s="22" t="s">
        <v>3388</v>
      </c>
      <c r="E781" s="18" t="s">
        <v>42</v>
      </c>
      <c r="F781" s="21" t="s">
        <v>33</v>
      </c>
      <c r="G781" s="22" t="s">
        <v>920</v>
      </c>
      <c r="H781" s="22" t="s">
        <v>3389</v>
      </c>
      <c r="I781" s="22" t="s">
        <v>3390</v>
      </c>
      <c r="J781" s="18" t="s">
        <v>51</v>
      </c>
    </row>
    <row r="782" spans="1:10" ht="78.75" customHeight="1">
      <c r="A782" s="18" t="s">
        <v>3391</v>
      </c>
      <c r="B782" s="18" t="s">
        <v>476</v>
      </c>
      <c r="C782" s="19" t="s">
        <v>27</v>
      </c>
      <c r="D782" s="19" t="s">
        <v>3392</v>
      </c>
      <c r="E782" s="18" t="s">
        <v>42</v>
      </c>
      <c r="F782" s="18" t="s">
        <v>33</v>
      </c>
      <c r="G782" s="19" t="s">
        <v>920</v>
      </c>
      <c r="H782" s="19" t="s">
        <v>3393</v>
      </c>
      <c r="I782" s="19" t="s">
        <v>3394</v>
      </c>
      <c r="J782" s="18" t="s">
        <v>51</v>
      </c>
    </row>
    <row r="783" spans="1:10" ht="78.75" customHeight="1">
      <c r="A783" s="21" t="s">
        <v>3395</v>
      </c>
      <c r="B783" s="21" t="s">
        <v>476</v>
      </c>
      <c r="C783" s="22" t="s">
        <v>27</v>
      </c>
      <c r="D783" s="22" t="s">
        <v>3396</v>
      </c>
      <c r="E783" s="18" t="s">
        <v>42</v>
      </c>
      <c r="F783" s="21" t="s">
        <v>33</v>
      </c>
      <c r="G783" s="22" t="s">
        <v>920</v>
      </c>
      <c r="H783" s="22" t="s">
        <v>2777</v>
      </c>
      <c r="I783" s="22" t="s">
        <v>2778</v>
      </c>
      <c r="J783" s="18" t="s">
        <v>51</v>
      </c>
    </row>
    <row r="784" spans="1:10" ht="48.75" customHeight="1">
      <c r="A784" s="18" t="s">
        <v>3397</v>
      </c>
      <c r="B784" s="18" t="s">
        <v>476</v>
      </c>
      <c r="C784" s="19" t="s">
        <v>27</v>
      </c>
      <c r="D784" s="19" t="s">
        <v>3398</v>
      </c>
      <c r="E784" s="18" t="s">
        <v>46</v>
      </c>
      <c r="F784" s="18" t="s">
        <v>33</v>
      </c>
      <c r="G784" s="19" t="s">
        <v>823</v>
      </c>
      <c r="H784" s="19" t="s">
        <v>3399</v>
      </c>
      <c r="I784" s="19" t="s">
        <v>958</v>
      </c>
      <c r="J784" s="18" t="s">
        <v>51</v>
      </c>
    </row>
    <row r="785" spans="1:10" ht="48.75" customHeight="1">
      <c r="A785" s="21" t="s">
        <v>3400</v>
      </c>
      <c r="B785" s="21" t="s">
        <v>476</v>
      </c>
      <c r="C785" s="22" t="s">
        <v>27</v>
      </c>
      <c r="D785" s="22" t="s">
        <v>3401</v>
      </c>
      <c r="E785" s="18" t="s">
        <v>46</v>
      </c>
      <c r="F785" s="21" t="s">
        <v>33</v>
      </c>
      <c r="G785" s="22" t="s">
        <v>961</v>
      </c>
      <c r="H785" s="22" t="s">
        <v>3402</v>
      </c>
      <c r="I785" s="22" t="s">
        <v>958</v>
      </c>
      <c r="J785" s="18" t="s">
        <v>51</v>
      </c>
    </row>
    <row r="786" spans="1:10" ht="48.75" customHeight="1">
      <c r="A786" s="18" t="s">
        <v>3403</v>
      </c>
      <c r="B786" s="18" t="s">
        <v>476</v>
      </c>
      <c r="C786" s="19" t="s">
        <v>27</v>
      </c>
      <c r="D786" s="19" t="s">
        <v>3404</v>
      </c>
      <c r="E786" s="18" t="s">
        <v>46</v>
      </c>
      <c r="F786" s="18" t="s">
        <v>33</v>
      </c>
      <c r="G786" s="19" t="s">
        <v>828</v>
      </c>
      <c r="H786" s="19" t="s">
        <v>3405</v>
      </c>
      <c r="I786" s="19" t="s">
        <v>958</v>
      </c>
      <c r="J786" s="18" t="s">
        <v>51</v>
      </c>
    </row>
    <row r="787" spans="1:10" ht="78.75" customHeight="1">
      <c r="A787" s="21" t="s">
        <v>3406</v>
      </c>
      <c r="B787" s="21" t="s">
        <v>480</v>
      </c>
      <c r="C787" s="22" t="s">
        <v>27</v>
      </c>
      <c r="D787" s="22" t="s">
        <v>3407</v>
      </c>
      <c r="E787" s="18" t="s">
        <v>42</v>
      </c>
      <c r="F787" s="21" t="s">
        <v>35</v>
      </c>
      <c r="G787" s="22" t="s">
        <v>920</v>
      </c>
      <c r="H787" s="22" t="s">
        <v>3408</v>
      </c>
      <c r="I787" s="22" t="s">
        <v>3409</v>
      </c>
      <c r="J787" s="18" t="s">
        <v>51</v>
      </c>
    </row>
    <row r="788" spans="1:10" ht="78.75" customHeight="1">
      <c r="A788" s="18" t="s">
        <v>3410</v>
      </c>
      <c r="B788" s="18" t="s">
        <v>480</v>
      </c>
      <c r="C788" s="19" t="s">
        <v>27</v>
      </c>
      <c r="D788" s="19" t="s">
        <v>3411</v>
      </c>
      <c r="E788" s="18" t="s">
        <v>42</v>
      </c>
      <c r="F788" s="18" t="s">
        <v>35</v>
      </c>
      <c r="G788" s="19" t="s">
        <v>920</v>
      </c>
      <c r="H788" s="19" t="s">
        <v>3412</v>
      </c>
      <c r="I788" s="19" t="s">
        <v>3413</v>
      </c>
      <c r="J788" s="18" t="s">
        <v>51</v>
      </c>
    </row>
    <row r="789" spans="1:10" ht="78.75" customHeight="1">
      <c r="A789" s="21" t="s">
        <v>3414</v>
      </c>
      <c r="B789" s="21" t="s">
        <v>480</v>
      </c>
      <c r="C789" s="22" t="s">
        <v>27</v>
      </c>
      <c r="D789" s="22" t="s">
        <v>3415</v>
      </c>
      <c r="E789" s="18" t="s">
        <v>42</v>
      </c>
      <c r="F789" s="21" t="s">
        <v>35</v>
      </c>
      <c r="G789" s="22" t="s">
        <v>920</v>
      </c>
      <c r="H789" s="22" t="s">
        <v>3328</v>
      </c>
      <c r="I789" s="22" t="s">
        <v>3329</v>
      </c>
      <c r="J789" s="18" t="s">
        <v>51</v>
      </c>
    </row>
    <row r="790" spans="1:10" ht="48.75" customHeight="1">
      <c r="A790" s="18" t="s">
        <v>3416</v>
      </c>
      <c r="B790" s="18" t="s">
        <v>480</v>
      </c>
      <c r="C790" s="19" t="s">
        <v>27</v>
      </c>
      <c r="D790" s="19" t="s">
        <v>3417</v>
      </c>
      <c r="E790" s="18" t="s">
        <v>46</v>
      </c>
      <c r="F790" s="18" t="s">
        <v>35</v>
      </c>
      <c r="G790" s="19" t="s">
        <v>823</v>
      </c>
      <c r="H790" s="19" t="s">
        <v>3418</v>
      </c>
      <c r="I790" s="19" t="s">
        <v>958</v>
      </c>
      <c r="J790" s="18" t="s">
        <v>51</v>
      </c>
    </row>
    <row r="791" spans="1:10" ht="48.75" customHeight="1">
      <c r="A791" s="21" t="s">
        <v>3419</v>
      </c>
      <c r="B791" s="21" t="s">
        <v>480</v>
      </c>
      <c r="C791" s="22" t="s">
        <v>27</v>
      </c>
      <c r="D791" s="22" t="s">
        <v>3420</v>
      </c>
      <c r="E791" s="18" t="s">
        <v>46</v>
      </c>
      <c r="F791" s="21" t="s">
        <v>35</v>
      </c>
      <c r="G791" s="22" t="s">
        <v>961</v>
      </c>
      <c r="H791" s="22" t="s">
        <v>3421</v>
      </c>
      <c r="I791" s="22" t="s">
        <v>958</v>
      </c>
      <c r="J791" s="18" t="s">
        <v>51</v>
      </c>
    </row>
    <row r="792" spans="1:10" ht="48.75" customHeight="1">
      <c r="A792" s="18" t="s">
        <v>3422</v>
      </c>
      <c r="B792" s="18" t="s">
        <v>480</v>
      </c>
      <c r="C792" s="19" t="s">
        <v>27</v>
      </c>
      <c r="D792" s="19" t="s">
        <v>3423</v>
      </c>
      <c r="E792" s="18" t="s">
        <v>46</v>
      </c>
      <c r="F792" s="18" t="s">
        <v>35</v>
      </c>
      <c r="G792" s="19" t="s">
        <v>828</v>
      </c>
      <c r="H792" s="19" t="s">
        <v>3424</v>
      </c>
      <c r="I792" s="19" t="s">
        <v>958</v>
      </c>
      <c r="J792" s="18" t="s">
        <v>51</v>
      </c>
    </row>
    <row r="793" spans="1:10" ht="78.75" customHeight="1">
      <c r="A793" s="21" t="s">
        <v>3425</v>
      </c>
      <c r="B793" s="21" t="s">
        <v>484</v>
      </c>
      <c r="C793" s="22" t="s">
        <v>27</v>
      </c>
      <c r="D793" s="22" t="s">
        <v>3426</v>
      </c>
      <c r="E793" s="18" t="s">
        <v>42</v>
      </c>
      <c r="F793" s="21" t="s">
        <v>37</v>
      </c>
      <c r="G793" s="22" t="s">
        <v>920</v>
      </c>
      <c r="H793" s="22" t="s">
        <v>3427</v>
      </c>
      <c r="I793" s="22" t="s">
        <v>3428</v>
      </c>
      <c r="J793" s="18" t="s">
        <v>51</v>
      </c>
    </row>
    <row r="794" spans="1:10" ht="78.75" customHeight="1">
      <c r="A794" s="18" t="s">
        <v>3429</v>
      </c>
      <c r="B794" s="18" t="s">
        <v>484</v>
      </c>
      <c r="C794" s="19" t="s">
        <v>27</v>
      </c>
      <c r="D794" s="19" t="s">
        <v>3430</v>
      </c>
      <c r="E794" s="18" t="s">
        <v>42</v>
      </c>
      <c r="F794" s="18" t="s">
        <v>37</v>
      </c>
      <c r="G794" s="19" t="s">
        <v>920</v>
      </c>
      <c r="H794" s="19" t="s">
        <v>2723</v>
      </c>
      <c r="I794" s="19" t="s">
        <v>2724</v>
      </c>
      <c r="J794" s="18" t="s">
        <v>51</v>
      </c>
    </row>
    <row r="795" spans="1:10" ht="63.75" customHeight="1">
      <c r="A795" s="21" t="s">
        <v>3431</v>
      </c>
      <c r="B795" s="21" t="s">
        <v>484</v>
      </c>
      <c r="C795" s="22" t="s">
        <v>27</v>
      </c>
      <c r="D795" s="22" t="s">
        <v>3432</v>
      </c>
      <c r="E795" s="18" t="s">
        <v>42</v>
      </c>
      <c r="F795" s="21" t="s">
        <v>37</v>
      </c>
      <c r="G795" s="22" t="s">
        <v>920</v>
      </c>
      <c r="H795" s="22" t="s">
        <v>3433</v>
      </c>
      <c r="I795" s="22" t="s">
        <v>3434</v>
      </c>
      <c r="J795" s="18" t="s">
        <v>51</v>
      </c>
    </row>
    <row r="796" spans="1:10" ht="48.75" customHeight="1">
      <c r="A796" s="18" t="s">
        <v>3435</v>
      </c>
      <c r="B796" s="18" t="s">
        <v>484</v>
      </c>
      <c r="C796" s="19" t="s">
        <v>27</v>
      </c>
      <c r="D796" s="19" t="s">
        <v>3436</v>
      </c>
      <c r="E796" s="18" t="s">
        <v>46</v>
      </c>
      <c r="F796" s="18" t="s">
        <v>37</v>
      </c>
      <c r="G796" s="19" t="s">
        <v>823</v>
      </c>
      <c r="H796" s="19" t="s">
        <v>3437</v>
      </c>
      <c r="I796" s="19" t="s">
        <v>958</v>
      </c>
      <c r="J796" s="18" t="s">
        <v>51</v>
      </c>
    </row>
    <row r="797" spans="1:10" ht="48.75" customHeight="1">
      <c r="A797" s="21" t="s">
        <v>3438</v>
      </c>
      <c r="B797" s="21" t="s">
        <v>484</v>
      </c>
      <c r="C797" s="22" t="s">
        <v>27</v>
      </c>
      <c r="D797" s="22" t="s">
        <v>3439</v>
      </c>
      <c r="E797" s="18" t="s">
        <v>46</v>
      </c>
      <c r="F797" s="21" t="s">
        <v>37</v>
      </c>
      <c r="G797" s="22" t="s">
        <v>961</v>
      </c>
      <c r="H797" s="22" t="s">
        <v>3440</v>
      </c>
      <c r="I797" s="22" t="s">
        <v>958</v>
      </c>
      <c r="J797" s="18" t="s">
        <v>51</v>
      </c>
    </row>
    <row r="798" spans="1:10" ht="48.75" customHeight="1">
      <c r="A798" s="18" t="s">
        <v>3441</v>
      </c>
      <c r="B798" s="18" t="s">
        <v>484</v>
      </c>
      <c r="C798" s="19" t="s">
        <v>27</v>
      </c>
      <c r="D798" s="19" t="s">
        <v>3442</v>
      </c>
      <c r="E798" s="18" t="s">
        <v>46</v>
      </c>
      <c r="F798" s="18" t="s">
        <v>37</v>
      </c>
      <c r="G798" s="19" t="s">
        <v>828</v>
      </c>
      <c r="H798" s="19" t="s">
        <v>3443</v>
      </c>
      <c r="I798" s="19" t="s">
        <v>958</v>
      </c>
      <c r="J798" s="18" t="s">
        <v>51</v>
      </c>
    </row>
    <row r="799" spans="1:10" ht="78.75" customHeight="1">
      <c r="A799" s="21" t="s">
        <v>3444</v>
      </c>
      <c r="B799" s="21" t="s">
        <v>488</v>
      </c>
      <c r="C799" s="22" t="s">
        <v>27</v>
      </c>
      <c r="D799" s="22" t="s">
        <v>3445</v>
      </c>
      <c r="E799" s="18" t="s">
        <v>42</v>
      </c>
      <c r="F799" s="21" t="s">
        <v>37</v>
      </c>
      <c r="G799" s="22" t="s">
        <v>920</v>
      </c>
      <c r="H799" s="22" t="s">
        <v>1531</v>
      </c>
      <c r="I799" s="22" t="s">
        <v>1532</v>
      </c>
      <c r="J799" s="18" t="s">
        <v>51</v>
      </c>
    </row>
    <row r="800" spans="1:10" ht="78.75" customHeight="1">
      <c r="A800" s="18" t="s">
        <v>3446</v>
      </c>
      <c r="B800" s="18" t="s">
        <v>488</v>
      </c>
      <c r="C800" s="19" t="s">
        <v>27</v>
      </c>
      <c r="D800" s="19" t="s">
        <v>3447</v>
      </c>
      <c r="E800" s="18" t="s">
        <v>42</v>
      </c>
      <c r="F800" s="18" t="s">
        <v>37</v>
      </c>
      <c r="G800" s="19" t="s">
        <v>920</v>
      </c>
      <c r="H800" s="19" t="s">
        <v>2727</v>
      </c>
      <c r="I800" s="19" t="s">
        <v>2728</v>
      </c>
      <c r="J800" s="18" t="s">
        <v>51</v>
      </c>
    </row>
    <row r="801" spans="1:10" ht="78.75" customHeight="1">
      <c r="A801" s="21" t="s">
        <v>3448</v>
      </c>
      <c r="B801" s="21" t="s">
        <v>488</v>
      </c>
      <c r="C801" s="22" t="s">
        <v>27</v>
      </c>
      <c r="D801" s="22" t="s">
        <v>3449</v>
      </c>
      <c r="E801" s="18" t="s">
        <v>42</v>
      </c>
      <c r="F801" s="21" t="s">
        <v>37</v>
      </c>
      <c r="G801" s="22" t="s">
        <v>920</v>
      </c>
      <c r="H801" s="22" t="s">
        <v>3450</v>
      </c>
      <c r="I801" s="22" t="s">
        <v>3451</v>
      </c>
      <c r="J801" s="18" t="s">
        <v>51</v>
      </c>
    </row>
    <row r="802" spans="1:10" ht="48.75" customHeight="1">
      <c r="A802" s="18" t="s">
        <v>3452</v>
      </c>
      <c r="B802" s="18" t="s">
        <v>488</v>
      </c>
      <c r="C802" s="19" t="s">
        <v>27</v>
      </c>
      <c r="D802" s="19" t="s">
        <v>3453</v>
      </c>
      <c r="E802" s="18" t="s">
        <v>46</v>
      </c>
      <c r="F802" s="18" t="s">
        <v>37</v>
      </c>
      <c r="G802" s="19" t="s">
        <v>823</v>
      </c>
      <c r="H802" s="19" t="s">
        <v>3454</v>
      </c>
      <c r="I802" s="19" t="s">
        <v>958</v>
      </c>
      <c r="J802" s="18" t="s">
        <v>51</v>
      </c>
    </row>
    <row r="803" spans="1:10" ht="48.75" customHeight="1">
      <c r="A803" s="21" t="s">
        <v>3455</v>
      </c>
      <c r="B803" s="21" t="s">
        <v>488</v>
      </c>
      <c r="C803" s="22" t="s">
        <v>27</v>
      </c>
      <c r="D803" s="22" t="s">
        <v>3456</v>
      </c>
      <c r="E803" s="18" t="s">
        <v>46</v>
      </c>
      <c r="F803" s="21" t="s">
        <v>37</v>
      </c>
      <c r="G803" s="22" t="s">
        <v>961</v>
      </c>
      <c r="H803" s="22" t="s">
        <v>3457</v>
      </c>
      <c r="I803" s="22" t="s">
        <v>958</v>
      </c>
      <c r="J803" s="18" t="s">
        <v>51</v>
      </c>
    </row>
    <row r="804" spans="1:10" ht="48.75" customHeight="1">
      <c r="A804" s="18" t="s">
        <v>3458</v>
      </c>
      <c r="B804" s="18" t="s">
        <v>488</v>
      </c>
      <c r="C804" s="19" t="s">
        <v>27</v>
      </c>
      <c r="D804" s="19" t="s">
        <v>3459</v>
      </c>
      <c r="E804" s="18" t="s">
        <v>46</v>
      </c>
      <c r="F804" s="18" t="s">
        <v>37</v>
      </c>
      <c r="G804" s="19" t="s">
        <v>828</v>
      </c>
      <c r="H804" s="19" t="s">
        <v>3460</v>
      </c>
      <c r="I804" s="19" t="s">
        <v>958</v>
      </c>
      <c r="J804" s="18" t="s">
        <v>51</v>
      </c>
    </row>
    <row r="805" spans="1:10" ht="78.75" customHeight="1">
      <c r="A805" s="21" t="s">
        <v>3461</v>
      </c>
      <c r="B805" s="21" t="s">
        <v>492</v>
      </c>
      <c r="C805" s="22" t="s">
        <v>27</v>
      </c>
      <c r="D805" s="22" t="s">
        <v>3462</v>
      </c>
      <c r="E805" s="18" t="s">
        <v>42</v>
      </c>
      <c r="F805" s="21" t="s">
        <v>37</v>
      </c>
      <c r="G805" s="22" t="s">
        <v>920</v>
      </c>
      <c r="H805" s="22" t="s">
        <v>3463</v>
      </c>
      <c r="I805" s="22" t="s">
        <v>3464</v>
      </c>
      <c r="J805" s="18" t="s">
        <v>51</v>
      </c>
    </row>
    <row r="806" spans="1:10" ht="78.75" customHeight="1">
      <c r="A806" s="18" t="s">
        <v>3465</v>
      </c>
      <c r="B806" s="18" t="s">
        <v>492</v>
      </c>
      <c r="C806" s="19" t="s">
        <v>27</v>
      </c>
      <c r="D806" s="19" t="s">
        <v>3466</v>
      </c>
      <c r="E806" s="18" t="s">
        <v>42</v>
      </c>
      <c r="F806" s="18" t="s">
        <v>37</v>
      </c>
      <c r="G806" s="19" t="s">
        <v>920</v>
      </c>
      <c r="H806" s="19" t="s">
        <v>2113</v>
      </c>
      <c r="I806" s="19" t="s">
        <v>2114</v>
      </c>
      <c r="J806" s="18" t="s">
        <v>51</v>
      </c>
    </row>
    <row r="807" spans="1:10" ht="78.75" customHeight="1">
      <c r="A807" s="21" t="s">
        <v>3467</v>
      </c>
      <c r="B807" s="21" t="s">
        <v>492</v>
      </c>
      <c r="C807" s="22" t="s">
        <v>27</v>
      </c>
      <c r="D807" s="22" t="s">
        <v>3468</v>
      </c>
      <c r="E807" s="18" t="s">
        <v>42</v>
      </c>
      <c r="F807" s="21" t="s">
        <v>37</v>
      </c>
      <c r="G807" s="22" t="s">
        <v>920</v>
      </c>
      <c r="H807" s="22" t="s">
        <v>2117</v>
      </c>
      <c r="I807" s="22" t="s">
        <v>2118</v>
      </c>
      <c r="J807" s="18" t="s">
        <v>51</v>
      </c>
    </row>
    <row r="808" spans="1:10" ht="48.75" customHeight="1">
      <c r="A808" s="18" t="s">
        <v>3469</v>
      </c>
      <c r="B808" s="18" t="s">
        <v>492</v>
      </c>
      <c r="C808" s="19" t="s">
        <v>27</v>
      </c>
      <c r="D808" s="19" t="s">
        <v>3470</v>
      </c>
      <c r="E808" s="18" t="s">
        <v>46</v>
      </c>
      <c r="F808" s="18" t="s">
        <v>37</v>
      </c>
      <c r="G808" s="19" t="s">
        <v>823</v>
      </c>
      <c r="H808" s="19" t="s">
        <v>3471</v>
      </c>
      <c r="I808" s="19" t="s">
        <v>958</v>
      </c>
      <c r="J808" s="18" t="s">
        <v>51</v>
      </c>
    </row>
    <row r="809" spans="1:10" ht="48.75" customHeight="1">
      <c r="A809" s="21" t="s">
        <v>3472</v>
      </c>
      <c r="B809" s="21" t="s">
        <v>492</v>
      </c>
      <c r="C809" s="22" t="s">
        <v>27</v>
      </c>
      <c r="D809" s="22" t="s">
        <v>3473</v>
      </c>
      <c r="E809" s="18" t="s">
        <v>46</v>
      </c>
      <c r="F809" s="21" t="s">
        <v>37</v>
      </c>
      <c r="G809" s="22" t="s">
        <v>961</v>
      </c>
      <c r="H809" s="22" t="s">
        <v>3474</v>
      </c>
      <c r="I809" s="22" t="s">
        <v>958</v>
      </c>
      <c r="J809" s="18" t="s">
        <v>51</v>
      </c>
    </row>
    <row r="810" spans="1:10" ht="48.75" customHeight="1">
      <c r="A810" s="18" t="s">
        <v>3475</v>
      </c>
      <c r="B810" s="18" t="s">
        <v>492</v>
      </c>
      <c r="C810" s="19" t="s">
        <v>27</v>
      </c>
      <c r="D810" s="19" t="s">
        <v>3476</v>
      </c>
      <c r="E810" s="18" t="s">
        <v>46</v>
      </c>
      <c r="F810" s="18" t="s">
        <v>37</v>
      </c>
      <c r="G810" s="19" t="s">
        <v>828</v>
      </c>
      <c r="H810" s="19" t="s">
        <v>3477</v>
      </c>
      <c r="I810" s="19" t="s">
        <v>958</v>
      </c>
      <c r="J810" s="18" t="s">
        <v>51</v>
      </c>
    </row>
    <row r="811" spans="1:10" ht="78.75" customHeight="1">
      <c r="A811" s="21" t="s">
        <v>3478</v>
      </c>
      <c r="B811" s="21" t="s">
        <v>496</v>
      </c>
      <c r="C811" s="22" t="s">
        <v>27</v>
      </c>
      <c r="D811" s="22" t="s">
        <v>3479</v>
      </c>
      <c r="E811" s="18" t="s">
        <v>42</v>
      </c>
      <c r="F811" s="21" t="s">
        <v>37</v>
      </c>
      <c r="G811" s="22" t="s">
        <v>920</v>
      </c>
      <c r="H811" s="22" t="s">
        <v>3480</v>
      </c>
      <c r="I811" s="22" t="s">
        <v>3481</v>
      </c>
      <c r="J811" s="18" t="s">
        <v>51</v>
      </c>
    </row>
    <row r="812" spans="1:10" ht="78.75" customHeight="1">
      <c r="A812" s="18" t="s">
        <v>3482</v>
      </c>
      <c r="B812" s="18" t="s">
        <v>496</v>
      </c>
      <c r="C812" s="19" t="s">
        <v>27</v>
      </c>
      <c r="D812" s="19" t="s">
        <v>3483</v>
      </c>
      <c r="E812" s="18" t="s">
        <v>42</v>
      </c>
      <c r="F812" s="18" t="s">
        <v>37</v>
      </c>
      <c r="G812" s="19" t="s">
        <v>920</v>
      </c>
      <c r="H812" s="19" t="s">
        <v>3484</v>
      </c>
      <c r="I812" s="19" t="s">
        <v>3485</v>
      </c>
      <c r="J812" s="18" t="s">
        <v>51</v>
      </c>
    </row>
    <row r="813" spans="1:10" ht="78.75" customHeight="1">
      <c r="A813" s="21" t="s">
        <v>3486</v>
      </c>
      <c r="B813" s="21" t="s">
        <v>496</v>
      </c>
      <c r="C813" s="22" t="s">
        <v>27</v>
      </c>
      <c r="D813" s="22" t="s">
        <v>3487</v>
      </c>
      <c r="E813" s="18" t="s">
        <v>42</v>
      </c>
      <c r="F813" s="21" t="s">
        <v>37</v>
      </c>
      <c r="G813" s="22" t="s">
        <v>920</v>
      </c>
      <c r="H813" s="22" t="s">
        <v>1539</v>
      </c>
      <c r="I813" s="22" t="s">
        <v>1540</v>
      </c>
      <c r="J813" s="18" t="s">
        <v>51</v>
      </c>
    </row>
    <row r="814" spans="1:10" ht="48.75" customHeight="1">
      <c r="A814" s="18" t="s">
        <v>3488</v>
      </c>
      <c r="B814" s="18" t="s">
        <v>496</v>
      </c>
      <c r="C814" s="19" t="s">
        <v>27</v>
      </c>
      <c r="D814" s="19" t="s">
        <v>3489</v>
      </c>
      <c r="E814" s="18" t="s">
        <v>46</v>
      </c>
      <c r="F814" s="18" t="s">
        <v>37</v>
      </c>
      <c r="G814" s="19" t="s">
        <v>823</v>
      </c>
      <c r="H814" s="19" t="s">
        <v>3490</v>
      </c>
      <c r="I814" s="19" t="s">
        <v>958</v>
      </c>
      <c r="J814" s="18" t="s">
        <v>51</v>
      </c>
    </row>
    <row r="815" spans="1:10" ht="48.75" customHeight="1">
      <c r="A815" s="21" t="s">
        <v>3491</v>
      </c>
      <c r="B815" s="21" t="s">
        <v>496</v>
      </c>
      <c r="C815" s="22" t="s">
        <v>27</v>
      </c>
      <c r="D815" s="22" t="s">
        <v>3492</v>
      </c>
      <c r="E815" s="18" t="s">
        <v>46</v>
      </c>
      <c r="F815" s="21" t="s">
        <v>37</v>
      </c>
      <c r="G815" s="22" t="s">
        <v>961</v>
      </c>
      <c r="H815" s="22" t="s">
        <v>3493</v>
      </c>
      <c r="I815" s="22" t="s">
        <v>958</v>
      </c>
      <c r="J815" s="18" t="s">
        <v>51</v>
      </c>
    </row>
    <row r="816" spans="1:10" ht="48.75" customHeight="1">
      <c r="A816" s="18" t="s">
        <v>3494</v>
      </c>
      <c r="B816" s="18" t="s">
        <v>496</v>
      </c>
      <c r="C816" s="19" t="s">
        <v>27</v>
      </c>
      <c r="D816" s="19" t="s">
        <v>3495</v>
      </c>
      <c r="E816" s="18" t="s">
        <v>46</v>
      </c>
      <c r="F816" s="18" t="s">
        <v>37</v>
      </c>
      <c r="G816" s="19" t="s">
        <v>828</v>
      </c>
      <c r="H816" s="19" t="s">
        <v>3496</v>
      </c>
      <c r="I816" s="19" t="s">
        <v>958</v>
      </c>
      <c r="J816" s="18" t="s">
        <v>51</v>
      </c>
    </row>
    <row r="817" spans="1:10" ht="78.75" customHeight="1">
      <c r="A817" s="21" t="s">
        <v>3497</v>
      </c>
      <c r="B817" s="21" t="s">
        <v>500</v>
      </c>
      <c r="C817" s="22" t="s">
        <v>27</v>
      </c>
      <c r="D817" s="22" t="s">
        <v>3498</v>
      </c>
      <c r="E817" s="18" t="s">
        <v>42</v>
      </c>
      <c r="F817" s="21" t="s">
        <v>35</v>
      </c>
      <c r="G817" s="22" t="s">
        <v>920</v>
      </c>
      <c r="H817" s="22" t="s">
        <v>3499</v>
      </c>
      <c r="I817" s="22" t="s">
        <v>3500</v>
      </c>
      <c r="J817" s="18" t="s">
        <v>51</v>
      </c>
    </row>
    <row r="818" spans="1:10" ht="78.75" customHeight="1">
      <c r="A818" s="18" t="s">
        <v>3501</v>
      </c>
      <c r="B818" s="18" t="s">
        <v>500</v>
      </c>
      <c r="C818" s="19" t="s">
        <v>27</v>
      </c>
      <c r="D818" s="19" t="s">
        <v>3502</v>
      </c>
      <c r="E818" s="18" t="s">
        <v>42</v>
      </c>
      <c r="F818" s="18" t="s">
        <v>35</v>
      </c>
      <c r="G818" s="19" t="s">
        <v>920</v>
      </c>
      <c r="H818" s="19" t="s">
        <v>3503</v>
      </c>
      <c r="I818" s="19" t="s">
        <v>3504</v>
      </c>
      <c r="J818" s="18" t="s">
        <v>51</v>
      </c>
    </row>
    <row r="819" spans="1:10" ht="78.75" customHeight="1">
      <c r="A819" s="21" t="s">
        <v>3505</v>
      </c>
      <c r="B819" s="21" t="s">
        <v>500</v>
      </c>
      <c r="C819" s="22" t="s">
        <v>27</v>
      </c>
      <c r="D819" s="22" t="s">
        <v>3506</v>
      </c>
      <c r="E819" s="18" t="s">
        <v>42</v>
      </c>
      <c r="F819" s="21" t="s">
        <v>35</v>
      </c>
      <c r="G819" s="22" t="s">
        <v>920</v>
      </c>
      <c r="H819" s="22" t="s">
        <v>3198</v>
      </c>
      <c r="I819" s="22" t="s">
        <v>3199</v>
      </c>
      <c r="J819" s="18" t="s">
        <v>51</v>
      </c>
    </row>
    <row r="820" spans="1:10" ht="48.75" customHeight="1">
      <c r="A820" s="18" t="s">
        <v>3507</v>
      </c>
      <c r="B820" s="18" t="s">
        <v>500</v>
      </c>
      <c r="C820" s="19" t="s">
        <v>27</v>
      </c>
      <c r="D820" s="19" t="s">
        <v>3508</v>
      </c>
      <c r="E820" s="18" t="s">
        <v>46</v>
      </c>
      <c r="F820" s="18" t="s">
        <v>35</v>
      </c>
      <c r="G820" s="19" t="s">
        <v>823</v>
      </c>
      <c r="H820" s="19" t="s">
        <v>3509</v>
      </c>
      <c r="I820" s="19" t="s">
        <v>958</v>
      </c>
      <c r="J820" s="18" t="s">
        <v>51</v>
      </c>
    </row>
    <row r="821" spans="1:10" ht="48.75" customHeight="1">
      <c r="A821" s="21" t="s">
        <v>3510</v>
      </c>
      <c r="B821" s="21" t="s">
        <v>500</v>
      </c>
      <c r="C821" s="22" t="s">
        <v>27</v>
      </c>
      <c r="D821" s="22" t="s">
        <v>3511</v>
      </c>
      <c r="E821" s="18" t="s">
        <v>46</v>
      </c>
      <c r="F821" s="21" t="s">
        <v>35</v>
      </c>
      <c r="G821" s="22" t="s">
        <v>961</v>
      </c>
      <c r="H821" s="22" t="s">
        <v>3512</v>
      </c>
      <c r="I821" s="22" t="s">
        <v>958</v>
      </c>
      <c r="J821" s="18" t="s">
        <v>51</v>
      </c>
    </row>
    <row r="822" spans="1:10" ht="48.75" customHeight="1">
      <c r="A822" s="18" t="s">
        <v>3513</v>
      </c>
      <c r="B822" s="18" t="s">
        <v>500</v>
      </c>
      <c r="C822" s="19" t="s">
        <v>27</v>
      </c>
      <c r="D822" s="19" t="s">
        <v>3514</v>
      </c>
      <c r="E822" s="18" t="s">
        <v>46</v>
      </c>
      <c r="F822" s="18" t="s">
        <v>35</v>
      </c>
      <c r="G822" s="19" t="s">
        <v>828</v>
      </c>
      <c r="H822" s="19" t="s">
        <v>3515</v>
      </c>
      <c r="I822" s="19" t="s">
        <v>958</v>
      </c>
      <c r="J822" s="18" t="s">
        <v>51</v>
      </c>
    </row>
    <row r="823" spans="1:10" ht="78.75" customHeight="1">
      <c r="A823" s="21" t="s">
        <v>3516</v>
      </c>
      <c r="B823" s="21" t="s">
        <v>500</v>
      </c>
      <c r="C823" s="22" t="s">
        <v>27</v>
      </c>
      <c r="D823" s="22" t="s">
        <v>3517</v>
      </c>
      <c r="E823" s="18" t="s">
        <v>44</v>
      </c>
      <c r="F823" s="21" t="s">
        <v>35</v>
      </c>
      <c r="G823" s="22" t="s">
        <v>920</v>
      </c>
      <c r="H823" s="22" t="s">
        <v>1364</v>
      </c>
      <c r="I823" s="22" t="s">
        <v>1284</v>
      </c>
      <c r="J823" s="18" t="s">
        <v>51</v>
      </c>
    </row>
    <row r="824" spans="1:10" ht="78.75" customHeight="1">
      <c r="A824" s="18" t="s">
        <v>3518</v>
      </c>
      <c r="B824" s="18" t="s">
        <v>500</v>
      </c>
      <c r="C824" s="19" t="s">
        <v>27</v>
      </c>
      <c r="D824" s="19" t="s">
        <v>3519</v>
      </c>
      <c r="E824" s="18" t="s">
        <v>42</v>
      </c>
      <c r="F824" s="18" t="s">
        <v>35</v>
      </c>
      <c r="G824" s="19" t="s">
        <v>920</v>
      </c>
      <c r="H824" s="19" t="s">
        <v>1367</v>
      </c>
      <c r="I824" s="19" t="s">
        <v>1288</v>
      </c>
      <c r="J824" s="18" t="s">
        <v>51</v>
      </c>
    </row>
    <row r="825" spans="1:10" ht="78.75" customHeight="1">
      <c r="A825" s="21" t="s">
        <v>3520</v>
      </c>
      <c r="B825" s="21" t="s">
        <v>504</v>
      </c>
      <c r="C825" s="22" t="s">
        <v>27</v>
      </c>
      <c r="D825" s="22" t="s">
        <v>3521</v>
      </c>
      <c r="E825" s="18" t="s">
        <v>42</v>
      </c>
      <c r="F825" s="21" t="s">
        <v>33</v>
      </c>
      <c r="G825" s="22" t="s">
        <v>920</v>
      </c>
      <c r="H825" s="22" t="s">
        <v>3522</v>
      </c>
      <c r="I825" s="22" t="s">
        <v>3523</v>
      </c>
      <c r="J825" s="18" t="s">
        <v>51</v>
      </c>
    </row>
    <row r="826" spans="1:10" ht="78.75" customHeight="1">
      <c r="A826" s="18" t="s">
        <v>3524</v>
      </c>
      <c r="B826" s="18" t="s">
        <v>504</v>
      </c>
      <c r="C826" s="19" t="s">
        <v>27</v>
      </c>
      <c r="D826" s="19" t="s">
        <v>3525</v>
      </c>
      <c r="E826" s="18" t="s">
        <v>42</v>
      </c>
      <c r="F826" s="18" t="s">
        <v>33</v>
      </c>
      <c r="G826" s="19" t="s">
        <v>920</v>
      </c>
      <c r="H826" s="19" t="s">
        <v>3526</v>
      </c>
      <c r="I826" s="19" t="s">
        <v>3527</v>
      </c>
      <c r="J826" s="18" t="s">
        <v>51</v>
      </c>
    </row>
    <row r="827" spans="1:10" ht="78.75" customHeight="1">
      <c r="A827" s="21" t="s">
        <v>3528</v>
      </c>
      <c r="B827" s="21" t="s">
        <v>504</v>
      </c>
      <c r="C827" s="22" t="s">
        <v>27</v>
      </c>
      <c r="D827" s="22" t="s">
        <v>3529</v>
      </c>
      <c r="E827" s="18" t="s">
        <v>42</v>
      </c>
      <c r="F827" s="21" t="s">
        <v>33</v>
      </c>
      <c r="G827" s="22" t="s">
        <v>920</v>
      </c>
      <c r="H827" s="22" t="s">
        <v>3530</v>
      </c>
      <c r="I827" s="22" t="s">
        <v>3531</v>
      </c>
      <c r="J827" s="18" t="s">
        <v>51</v>
      </c>
    </row>
    <row r="828" spans="1:10" ht="78.75" customHeight="1">
      <c r="A828" s="18" t="s">
        <v>3532</v>
      </c>
      <c r="B828" s="18" t="s">
        <v>504</v>
      </c>
      <c r="C828" s="19" t="s">
        <v>27</v>
      </c>
      <c r="D828" s="19" t="s">
        <v>3533</v>
      </c>
      <c r="E828" s="18" t="s">
        <v>42</v>
      </c>
      <c r="F828" s="18" t="s">
        <v>33</v>
      </c>
      <c r="G828" s="19" t="s">
        <v>920</v>
      </c>
      <c r="H828" s="19" t="s">
        <v>3534</v>
      </c>
      <c r="I828" s="19" t="s">
        <v>3535</v>
      </c>
      <c r="J828" s="18" t="s">
        <v>51</v>
      </c>
    </row>
    <row r="829" spans="1:10" ht="48.75" customHeight="1">
      <c r="A829" s="21" t="s">
        <v>3536</v>
      </c>
      <c r="B829" s="21" t="s">
        <v>504</v>
      </c>
      <c r="C829" s="22" t="s">
        <v>27</v>
      </c>
      <c r="D829" s="22" t="s">
        <v>3537</v>
      </c>
      <c r="E829" s="18" t="s">
        <v>46</v>
      </c>
      <c r="F829" s="21" t="s">
        <v>33</v>
      </c>
      <c r="G829" s="22" t="s">
        <v>823</v>
      </c>
      <c r="H829" s="22" t="s">
        <v>3538</v>
      </c>
      <c r="I829" s="22" t="s">
        <v>958</v>
      </c>
      <c r="J829" s="18" t="s">
        <v>51</v>
      </c>
    </row>
    <row r="830" spans="1:10" ht="48.75" customHeight="1">
      <c r="A830" s="18" t="s">
        <v>3539</v>
      </c>
      <c r="B830" s="18" t="s">
        <v>504</v>
      </c>
      <c r="C830" s="19" t="s">
        <v>27</v>
      </c>
      <c r="D830" s="19" t="s">
        <v>3540</v>
      </c>
      <c r="E830" s="18" t="s">
        <v>46</v>
      </c>
      <c r="F830" s="18" t="s">
        <v>33</v>
      </c>
      <c r="G830" s="19" t="s">
        <v>961</v>
      </c>
      <c r="H830" s="19" t="s">
        <v>3541</v>
      </c>
      <c r="I830" s="19" t="s">
        <v>958</v>
      </c>
      <c r="J830" s="18" t="s">
        <v>51</v>
      </c>
    </row>
    <row r="831" spans="1:10" ht="48.75" customHeight="1">
      <c r="A831" s="21" t="s">
        <v>3542</v>
      </c>
      <c r="B831" s="21" t="s">
        <v>504</v>
      </c>
      <c r="C831" s="22" t="s">
        <v>27</v>
      </c>
      <c r="D831" s="22" t="s">
        <v>3543</v>
      </c>
      <c r="E831" s="18" t="s">
        <v>46</v>
      </c>
      <c r="F831" s="21" t="s">
        <v>33</v>
      </c>
      <c r="G831" s="22" t="s">
        <v>828</v>
      </c>
      <c r="H831" s="22" t="s">
        <v>3544</v>
      </c>
      <c r="I831" s="22" t="s">
        <v>958</v>
      </c>
      <c r="J831" s="18" t="s">
        <v>51</v>
      </c>
    </row>
    <row r="832" spans="1:10" ht="78.75" customHeight="1">
      <c r="A832" s="18" t="s">
        <v>3545</v>
      </c>
      <c r="B832" s="18" t="s">
        <v>508</v>
      </c>
      <c r="C832" s="19" t="s">
        <v>27</v>
      </c>
      <c r="D832" s="19" t="s">
        <v>3546</v>
      </c>
      <c r="E832" s="18" t="s">
        <v>42</v>
      </c>
      <c r="F832" s="18" t="s">
        <v>37</v>
      </c>
      <c r="G832" s="19" t="s">
        <v>920</v>
      </c>
      <c r="H832" s="19" t="s">
        <v>3547</v>
      </c>
      <c r="I832" s="19" t="s">
        <v>3548</v>
      </c>
      <c r="J832" s="18" t="s">
        <v>51</v>
      </c>
    </row>
    <row r="833" spans="1:10" ht="78.75" customHeight="1">
      <c r="A833" s="21" t="s">
        <v>3549</v>
      </c>
      <c r="B833" s="21" t="s">
        <v>508</v>
      </c>
      <c r="C833" s="22" t="s">
        <v>27</v>
      </c>
      <c r="D833" s="22" t="s">
        <v>3550</v>
      </c>
      <c r="E833" s="18" t="s">
        <v>42</v>
      </c>
      <c r="F833" s="21" t="s">
        <v>37</v>
      </c>
      <c r="G833" s="22" t="s">
        <v>920</v>
      </c>
      <c r="H833" s="22" t="s">
        <v>3551</v>
      </c>
      <c r="I833" s="22" t="s">
        <v>3552</v>
      </c>
      <c r="J833" s="18" t="s">
        <v>51</v>
      </c>
    </row>
    <row r="834" spans="1:10" ht="78.75" customHeight="1">
      <c r="A834" s="18" t="s">
        <v>3553</v>
      </c>
      <c r="B834" s="18" t="s">
        <v>508</v>
      </c>
      <c r="C834" s="19" t="s">
        <v>27</v>
      </c>
      <c r="D834" s="19" t="s">
        <v>3554</v>
      </c>
      <c r="E834" s="18" t="s">
        <v>42</v>
      </c>
      <c r="F834" s="18" t="s">
        <v>37</v>
      </c>
      <c r="G834" s="19" t="s">
        <v>920</v>
      </c>
      <c r="H834" s="19" t="s">
        <v>3555</v>
      </c>
      <c r="I834" s="19" t="s">
        <v>3556</v>
      </c>
      <c r="J834" s="18" t="s">
        <v>51</v>
      </c>
    </row>
    <row r="835" spans="1:10" ht="48.75" customHeight="1">
      <c r="A835" s="21" t="s">
        <v>3557</v>
      </c>
      <c r="B835" s="21" t="s">
        <v>508</v>
      </c>
      <c r="C835" s="22" t="s">
        <v>27</v>
      </c>
      <c r="D835" s="22" t="s">
        <v>3558</v>
      </c>
      <c r="E835" s="18" t="s">
        <v>46</v>
      </c>
      <c r="F835" s="21" t="s">
        <v>37</v>
      </c>
      <c r="G835" s="22" t="s">
        <v>823</v>
      </c>
      <c r="H835" s="22" t="s">
        <v>3559</v>
      </c>
      <c r="I835" s="22" t="s">
        <v>958</v>
      </c>
      <c r="J835" s="18" t="s">
        <v>51</v>
      </c>
    </row>
    <row r="836" spans="1:10" ht="48.75" customHeight="1">
      <c r="A836" s="18" t="s">
        <v>3560</v>
      </c>
      <c r="B836" s="18" t="s">
        <v>508</v>
      </c>
      <c r="C836" s="19" t="s">
        <v>27</v>
      </c>
      <c r="D836" s="19" t="s">
        <v>3561</v>
      </c>
      <c r="E836" s="18" t="s">
        <v>46</v>
      </c>
      <c r="F836" s="18" t="s">
        <v>37</v>
      </c>
      <c r="G836" s="19" t="s">
        <v>961</v>
      </c>
      <c r="H836" s="19" t="s">
        <v>3562</v>
      </c>
      <c r="I836" s="19" t="s">
        <v>958</v>
      </c>
      <c r="J836" s="18" t="s">
        <v>51</v>
      </c>
    </row>
    <row r="837" spans="1:10" ht="48.75" customHeight="1">
      <c r="A837" s="21" t="s">
        <v>3563</v>
      </c>
      <c r="B837" s="21" t="s">
        <v>508</v>
      </c>
      <c r="C837" s="22" t="s">
        <v>27</v>
      </c>
      <c r="D837" s="22" t="s">
        <v>3564</v>
      </c>
      <c r="E837" s="18" t="s">
        <v>46</v>
      </c>
      <c r="F837" s="21" t="s">
        <v>37</v>
      </c>
      <c r="G837" s="22" t="s">
        <v>828</v>
      </c>
      <c r="H837" s="22" t="s">
        <v>3565</v>
      </c>
      <c r="I837" s="22" t="s">
        <v>958</v>
      </c>
      <c r="J837" s="18" t="s">
        <v>51</v>
      </c>
    </row>
    <row r="838" spans="1:10" ht="78.75" customHeight="1">
      <c r="A838" s="18" t="s">
        <v>3566</v>
      </c>
      <c r="B838" s="18" t="s">
        <v>508</v>
      </c>
      <c r="C838" s="19" t="s">
        <v>27</v>
      </c>
      <c r="D838" s="19" t="s">
        <v>3567</v>
      </c>
      <c r="E838" s="18" t="s">
        <v>44</v>
      </c>
      <c r="F838" s="18" t="s">
        <v>37</v>
      </c>
      <c r="G838" s="19" t="s">
        <v>920</v>
      </c>
      <c r="H838" s="19" t="s">
        <v>1364</v>
      </c>
      <c r="I838" s="19" t="s">
        <v>1284</v>
      </c>
      <c r="J838" s="18" t="s">
        <v>51</v>
      </c>
    </row>
    <row r="839" spans="1:10" ht="78.75" customHeight="1">
      <c r="A839" s="21" t="s">
        <v>3568</v>
      </c>
      <c r="B839" s="21" t="s">
        <v>508</v>
      </c>
      <c r="C839" s="22" t="s">
        <v>27</v>
      </c>
      <c r="D839" s="22" t="s">
        <v>3569</v>
      </c>
      <c r="E839" s="18" t="s">
        <v>42</v>
      </c>
      <c r="F839" s="21" t="s">
        <v>37</v>
      </c>
      <c r="G839" s="22" t="s">
        <v>920</v>
      </c>
      <c r="H839" s="22" t="s">
        <v>1367</v>
      </c>
      <c r="I839" s="22" t="s">
        <v>1288</v>
      </c>
      <c r="J839" s="18" t="s">
        <v>51</v>
      </c>
    </row>
    <row r="840" spans="1:10" ht="93.75" customHeight="1">
      <c r="A840" s="18" t="s">
        <v>3570</v>
      </c>
      <c r="B840" s="18" t="s">
        <v>512</v>
      </c>
      <c r="C840" s="19" t="s">
        <v>27</v>
      </c>
      <c r="D840" s="19" t="s">
        <v>3571</v>
      </c>
      <c r="E840" s="18" t="s">
        <v>42</v>
      </c>
      <c r="F840" s="18" t="s">
        <v>33</v>
      </c>
      <c r="G840" s="19" t="s">
        <v>2830</v>
      </c>
      <c r="H840" s="19" t="s">
        <v>3572</v>
      </c>
      <c r="I840" s="19" t="s">
        <v>3573</v>
      </c>
      <c r="J840" s="18" t="s">
        <v>51</v>
      </c>
    </row>
    <row r="841" spans="1:10" ht="93.75" customHeight="1">
      <c r="A841" s="21" t="s">
        <v>3574</v>
      </c>
      <c r="B841" s="21" t="s">
        <v>512</v>
      </c>
      <c r="C841" s="22" t="s">
        <v>27</v>
      </c>
      <c r="D841" s="22" t="s">
        <v>3575</v>
      </c>
      <c r="E841" s="18" t="s">
        <v>42</v>
      </c>
      <c r="F841" s="21" t="s">
        <v>33</v>
      </c>
      <c r="G841" s="22" t="s">
        <v>2830</v>
      </c>
      <c r="H841" s="22" t="s">
        <v>3576</v>
      </c>
      <c r="I841" s="22" t="s">
        <v>3577</v>
      </c>
      <c r="J841" s="18" t="s">
        <v>51</v>
      </c>
    </row>
    <row r="842" spans="1:10" ht="93.75" customHeight="1">
      <c r="A842" s="18" t="s">
        <v>3578</v>
      </c>
      <c r="B842" s="18" t="s">
        <v>512</v>
      </c>
      <c r="C842" s="19" t="s">
        <v>27</v>
      </c>
      <c r="D842" s="19" t="s">
        <v>3579</v>
      </c>
      <c r="E842" s="18" t="s">
        <v>44</v>
      </c>
      <c r="F842" s="18" t="s">
        <v>33</v>
      </c>
      <c r="G842" s="19" t="s">
        <v>2830</v>
      </c>
      <c r="H842" s="19" t="s">
        <v>3580</v>
      </c>
      <c r="I842" s="19" t="s">
        <v>3581</v>
      </c>
      <c r="J842" s="18" t="s">
        <v>51</v>
      </c>
    </row>
    <row r="843" spans="1:10" ht="93.75" customHeight="1">
      <c r="A843" s="21" t="s">
        <v>3582</v>
      </c>
      <c r="B843" s="21" t="s">
        <v>512</v>
      </c>
      <c r="C843" s="22" t="s">
        <v>27</v>
      </c>
      <c r="D843" s="22" t="s">
        <v>3583</v>
      </c>
      <c r="E843" s="18" t="s">
        <v>42</v>
      </c>
      <c r="F843" s="21" t="s">
        <v>33</v>
      </c>
      <c r="G843" s="22" t="s">
        <v>2830</v>
      </c>
      <c r="H843" s="22" t="s">
        <v>3584</v>
      </c>
      <c r="I843" s="22" t="s">
        <v>3585</v>
      </c>
      <c r="J843" s="18" t="s">
        <v>51</v>
      </c>
    </row>
    <row r="844" spans="1:10" ht="93.75" customHeight="1">
      <c r="A844" s="18" t="s">
        <v>3586</v>
      </c>
      <c r="B844" s="18" t="s">
        <v>512</v>
      </c>
      <c r="C844" s="19" t="s">
        <v>27</v>
      </c>
      <c r="D844" s="19" t="s">
        <v>3587</v>
      </c>
      <c r="E844" s="18" t="s">
        <v>42</v>
      </c>
      <c r="F844" s="18" t="s">
        <v>33</v>
      </c>
      <c r="G844" s="19" t="s">
        <v>2830</v>
      </c>
      <c r="H844" s="19" t="s">
        <v>3588</v>
      </c>
      <c r="I844" s="19" t="s">
        <v>3589</v>
      </c>
      <c r="J844" s="18" t="s">
        <v>51</v>
      </c>
    </row>
    <row r="845" spans="1:10" ht="78.75" customHeight="1">
      <c r="A845" s="21" t="s">
        <v>3590</v>
      </c>
      <c r="B845" s="21" t="s">
        <v>512</v>
      </c>
      <c r="C845" s="22" t="s">
        <v>27</v>
      </c>
      <c r="D845" s="22" t="s">
        <v>3591</v>
      </c>
      <c r="E845" s="18" t="s">
        <v>42</v>
      </c>
      <c r="F845" s="21" t="s">
        <v>33</v>
      </c>
      <c r="G845" s="22" t="s">
        <v>2830</v>
      </c>
      <c r="H845" s="22" t="s">
        <v>3592</v>
      </c>
      <c r="I845" s="22" t="s">
        <v>808</v>
      </c>
      <c r="J845" s="18" t="s">
        <v>51</v>
      </c>
    </row>
    <row r="846" spans="1:10" ht="48.75" customHeight="1">
      <c r="A846" s="18" t="s">
        <v>3593</v>
      </c>
      <c r="B846" s="18" t="s">
        <v>512</v>
      </c>
      <c r="C846" s="19" t="s">
        <v>27</v>
      </c>
      <c r="D846" s="19" t="s">
        <v>3594</v>
      </c>
      <c r="E846" s="18" t="s">
        <v>46</v>
      </c>
      <c r="F846" s="18" t="s">
        <v>33</v>
      </c>
      <c r="G846" s="19" t="s">
        <v>2830</v>
      </c>
      <c r="H846" s="19" t="s">
        <v>3595</v>
      </c>
      <c r="I846" s="19" t="s">
        <v>812</v>
      </c>
      <c r="J846" s="18" t="s">
        <v>51</v>
      </c>
    </row>
    <row r="847" spans="1:10" ht="78.75" customHeight="1">
      <c r="A847" s="21" t="s">
        <v>3596</v>
      </c>
      <c r="B847" s="21" t="s">
        <v>512</v>
      </c>
      <c r="C847" s="22" t="s">
        <v>27</v>
      </c>
      <c r="D847" s="22" t="s">
        <v>3597</v>
      </c>
      <c r="E847" s="18" t="s">
        <v>44</v>
      </c>
      <c r="F847" s="21" t="s">
        <v>33</v>
      </c>
      <c r="G847" s="22" t="s">
        <v>2830</v>
      </c>
      <c r="H847" s="22" t="s">
        <v>3598</v>
      </c>
      <c r="I847" s="22" t="s">
        <v>816</v>
      </c>
      <c r="J847" s="18" t="s">
        <v>51</v>
      </c>
    </row>
    <row r="848" spans="1:10" ht="78.75" customHeight="1">
      <c r="A848" s="18" t="s">
        <v>3599</v>
      </c>
      <c r="B848" s="18" t="s">
        <v>512</v>
      </c>
      <c r="C848" s="19" t="s">
        <v>27</v>
      </c>
      <c r="D848" s="19" t="s">
        <v>3600</v>
      </c>
      <c r="E848" s="18" t="s">
        <v>44</v>
      </c>
      <c r="F848" s="18" t="s">
        <v>33</v>
      </c>
      <c r="G848" s="19" t="s">
        <v>2830</v>
      </c>
      <c r="H848" s="19" t="s">
        <v>3601</v>
      </c>
      <c r="I848" s="19" t="s">
        <v>820</v>
      </c>
      <c r="J848" s="18" t="s">
        <v>51</v>
      </c>
    </row>
    <row r="849" spans="1:10" ht="78.75" customHeight="1">
      <c r="A849" s="21" t="s">
        <v>3602</v>
      </c>
      <c r="B849" s="21" t="s">
        <v>512</v>
      </c>
      <c r="C849" s="22" t="s">
        <v>27</v>
      </c>
      <c r="D849" s="22" t="s">
        <v>3603</v>
      </c>
      <c r="E849" s="18" t="s">
        <v>42</v>
      </c>
      <c r="F849" s="21" t="s">
        <v>33</v>
      </c>
      <c r="G849" s="22" t="s">
        <v>2830</v>
      </c>
      <c r="H849" s="22" t="s">
        <v>3604</v>
      </c>
      <c r="I849" s="22" t="s">
        <v>808</v>
      </c>
      <c r="J849" s="18" t="s">
        <v>51</v>
      </c>
    </row>
    <row r="850" spans="1:10" ht="48.75" customHeight="1">
      <c r="A850" s="18" t="s">
        <v>3605</v>
      </c>
      <c r="B850" s="18" t="s">
        <v>512</v>
      </c>
      <c r="C850" s="19" t="s">
        <v>27</v>
      </c>
      <c r="D850" s="19" t="s">
        <v>3606</v>
      </c>
      <c r="E850" s="18" t="s">
        <v>46</v>
      </c>
      <c r="F850" s="18" t="s">
        <v>33</v>
      </c>
      <c r="G850" s="19" t="s">
        <v>2830</v>
      </c>
      <c r="H850" s="19" t="s">
        <v>3607</v>
      </c>
      <c r="I850" s="19" t="s">
        <v>812</v>
      </c>
      <c r="J850" s="18" t="s">
        <v>51</v>
      </c>
    </row>
    <row r="851" spans="1:10" ht="78.75" customHeight="1">
      <c r="A851" s="21" t="s">
        <v>3608</v>
      </c>
      <c r="B851" s="21" t="s">
        <v>512</v>
      </c>
      <c r="C851" s="22" t="s">
        <v>27</v>
      </c>
      <c r="D851" s="22" t="s">
        <v>3609</v>
      </c>
      <c r="E851" s="18" t="s">
        <v>44</v>
      </c>
      <c r="F851" s="21" t="s">
        <v>33</v>
      </c>
      <c r="G851" s="22" t="s">
        <v>2830</v>
      </c>
      <c r="H851" s="22" t="s">
        <v>3610</v>
      </c>
      <c r="I851" s="22" t="s">
        <v>816</v>
      </c>
      <c r="J851" s="18" t="s">
        <v>51</v>
      </c>
    </row>
    <row r="852" spans="1:10" ht="78.75" customHeight="1">
      <c r="A852" s="18" t="s">
        <v>3611</v>
      </c>
      <c r="B852" s="18" t="s">
        <v>512</v>
      </c>
      <c r="C852" s="19" t="s">
        <v>27</v>
      </c>
      <c r="D852" s="19" t="s">
        <v>3612</v>
      </c>
      <c r="E852" s="18" t="s">
        <v>44</v>
      </c>
      <c r="F852" s="18" t="s">
        <v>33</v>
      </c>
      <c r="G852" s="19" t="s">
        <v>2830</v>
      </c>
      <c r="H852" s="19" t="s">
        <v>3613</v>
      </c>
      <c r="I852" s="19" t="s">
        <v>820</v>
      </c>
      <c r="J852" s="18" t="s">
        <v>51</v>
      </c>
    </row>
    <row r="853" spans="1:10" ht="63.75" customHeight="1">
      <c r="A853" s="21" t="s">
        <v>3614</v>
      </c>
      <c r="B853" s="21" t="s">
        <v>512</v>
      </c>
      <c r="C853" s="22" t="s">
        <v>27</v>
      </c>
      <c r="D853" s="22" t="s">
        <v>3615</v>
      </c>
      <c r="E853" s="18" t="s">
        <v>46</v>
      </c>
      <c r="F853" s="21" t="s">
        <v>33</v>
      </c>
      <c r="G853" s="22" t="s">
        <v>823</v>
      </c>
      <c r="H853" s="22" t="s">
        <v>3616</v>
      </c>
      <c r="I853" s="22" t="s">
        <v>2891</v>
      </c>
      <c r="J853" s="18" t="s">
        <v>51</v>
      </c>
    </row>
    <row r="854" spans="1:10" ht="63.75" customHeight="1">
      <c r="A854" s="18" t="s">
        <v>3617</v>
      </c>
      <c r="B854" s="18" t="s">
        <v>512</v>
      </c>
      <c r="C854" s="19" t="s">
        <v>27</v>
      </c>
      <c r="D854" s="19" t="s">
        <v>3618</v>
      </c>
      <c r="E854" s="18" t="s">
        <v>46</v>
      </c>
      <c r="F854" s="18" t="s">
        <v>33</v>
      </c>
      <c r="G854" s="19" t="s">
        <v>961</v>
      </c>
      <c r="H854" s="19" t="s">
        <v>3619</v>
      </c>
      <c r="I854" s="19" t="s">
        <v>2891</v>
      </c>
      <c r="J854" s="18" t="s">
        <v>51</v>
      </c>
    </row>
    <row r="855" spans="1:10" ht="63.75" customHeight="1">
      <c r="A855" s="21" t="s">
        <v>3620</v>
      </c>
      <c r="B855" s="21" t="s">
        <v>512</v>
      </c>
      <c r="C855" s="22" t="s">
        <v>27</v>
      </c>
      <c r="D855" s="22" t="s">
        <v>3621</v>
      </c>
      <c r="E855" s="18" t="s">
        <v>46</v>
      </c>
      <c r="F855" s="21" t="s">
        <v>33</v>
      </c>
      <c r="G855" s="22" t="s">
        <v>828</v>
      </c>
      <c r="H855" s="22" t="s">
        <v>3622</v>
      </c>
      <c r="I855" s="22" t="s">
        <v>2891</v>
      </c>
      <c r="J855" s="18" t="s">
        <v>51</v>
      </c>
    </row>
    <row r="856" spans="1:10" ht="78.75" customHeight="1">
      <c r="A856" s="18" t="s">
        <v>3623</v>
      </c>
      <c r="B856" s="18" t="s">
        <v>519</v>
      </c>
      <c r="C856" s="19" t="s">
        <v>27</v>
      </c>
      <c r="D856" s="19" t="s">
        <v>3624</v>
      </c>
      <c r="E856" s="18" t="s">
        <v>42</v>
      </c>
      <c r="F856" s="18" t="s">
        <v>37</v>
      </c>
      <c r="G856" s="19" t="s">
        <v>920</v>
      </c>
      <c r="H856" s="19" t="s">
        <v>3625</v>
      </c>
      <c r="I856" s="19" t="s">
        <v>3626</v>
      </c>
      <c r="J856" s="18" t="s">
        <v>51</v>
      </c>
    </row>
    <row r="857" spans="1:10" ht="78.75" customHeight="1">
      <c r="A857" s="21" t="s">
        <v>3627</v>
      </c>
      <c r="B857" s="21" t="s">
        <v>519</v>
      </c>
      <c r="C857" s="22" t="s">
        <v>27</v>
      </c>
      <c r="D857" s="22" t="s">
        <v>3628</v>
      </c>
      <c r="E857" s="18" t="s">
        <v>42</v>
      </c>
      <c r="F857" s="21" t="s">
        <v>37</v>
      </c>
      <c r="G857" s="22" t="s">
        <v>920</v>
      </c>
      <c r="H857" s="22" t="s">
        <v>3629</v>
      </c>
      <c r="I857" s="22" t="s">
        <v>3630</v>
      </c>
      <c r="J857" s="18" t="s">
        <v>51</v>
      </c>
    </row>
    <row r="858" spans="1:10" ht="78.75" customHeight="1">
      <c r="A858" s="18" t="s">
        <v>3631</v>
      </c>
      <c r="B858" s="18" t="s">
        <v>519</v>
      </c>
      <c r="C858" s="19" t="s">
        <v>27</v>
      </c>
      <c r="D858" s="19" t="s">
        <v>3632</v>
      </c>
      <c r="E858" s="18" t="s">
        <v>42</v>
      </c>
      <c r="F858" s="18" t="s">
        <v>37</v>
      </c>
      <c r="G858" s="19" t="s">
        <v>920</v>
      </c>
      <c r="H858" s="19" t="s">
        <v>3633</v>
      </c>
      <c r="I858" s="19" t="s">
        <v>3634</v>
      </c>
      <c r="J858" s="18" t="s">
        <v>51</v>
      </c>
    </row>
    <row r="859" spans="1:10" ht="48.75" customHeight="1">
      <c r="A859" s="21" t="s">
        <v>3635</v>
      </c>
      <c r="B859" s="21" t="s">
        <v>519</v>
      </c>
      <c r="C859" s="22" t="s">
        <v>27</v>
      </c>
      <c r="D859" s="22" t="s">
        <v>3636</v>
      </c>
      <c r="E859" s="18" t="s">
        <v>46</v>
      </c>
      <c r="F859" s="21" t="s">
        <v>37</v>
      </c>
      <c r="G859" s="22" t="s">
        <v>823</v>
      </c>
      <c r="H859" s="22" t="s">
        <v>3637</v>
      </c>
      <c r="I859" s="22" t="s">
        <v>958</v>
      </c>
      <c r="J859" s="18" t="s">
        <v>51</v>
      </c>
    </row>
    <row r="860" spans="1:10" ht="48.75" customHeight="1">
      <c r="A860" s="18" t="s">
        <v>3638</v>
      </c>
      <c r="B860" s="18" t="s">
        <v>519</v>
      </c>
      <c r="C860" s="19" t="s">
        <v>27</v>
      </c>
      <c r="D860" s="19" t="s">
        <v>3639</v>
      </c>
      <c r="E860" s="18" t="s">
        <v>46</v>
      </c>
      <c r="F860" s="18" t="s">
        <v>37</v>
      </c>
      <c r="G860" s="19" t="s">
        <v>961</v>
      </c>
      <c r="H860" s="19" t="s">
        <v>3640</v>
      </c>
      <c r="I860" s="19" t="s">
        <v>958</v>
      </c>
      <c r="J860" s="18" t="s">
        <v>51</v>
      </c>
    </row>
    <row r="861" spans="1:10" ht="48.75" customHeight="1">
      <c r="A861" s="21" t="s">
        <v>3641</v>
      </c>
      <c r="B861" s="21" t="s">
        <v>519</v>
      </c>
      <c r="C861" s="22" t="s">
        <v>27</v>
      </c>
      <c r="D861" s="22" t="s">
        <v>3642</v>
      </c>
      <c r="E861" s="18" t="s">
        <v>46</v>
      </c>
      <c r="F861" s="21" t="s">
        <v>37</v>
      </c>
      <c r="G861" s="22" t="s">
        <v>828</v>
      </c>
      <c r="H861" s="22" t="s">
        <v>3643</v>
      </c>
      <c r="I861" s="22" t="s">
        <v>958</v>
      </c>
      <c r="J861" s="18" t="s">
        <v>51</v>
      </c>
    </row>
    <row r="862" spans="1:10" ht="78.75" customHeight="1">
      <c r="A862" s="18" t="s">
        <v>3644</v>
      </c>
      <c r="B862" s="18" t="s">
        <v>523</v>
      </c>
      <c r="C862" s="19" t="s">
        <v>27</v>
      </c>
      <c r="D862" s="19" t="s">
        <v>3645</v>
      </c>
      <c r="E862" s="18" t="s">
        <v>42</v>
      </c>
      <c r="F862" s="18" t="s">
        <v>37</v>
      </c>
      <c r="G862" s="19" t="s">
        <v>920</v>
      </c>
      <c r="H862" s="19" t="s">
        <v>3646</v>
      </c>
      <c r="I862" s="19" t="s">
        <v>3647</v>
      </c>
      <c r="J862" s="18" t="s">
        <v>51</v>
      </c>
    </row>
    <row r="863" spans="1:10" ht="78.75" customHeight="1">
      <c r="A863" s="21" t="s">
        <v>3648</v>
      </c>
      <c r="B863" s="21" t="s">
        <v>523</v>
      </c>
      <c r="C863" s="22" t="s">
        <v>27</v>
      </c>
      <c r="D863" s="22" t="s">
        <v>3649</v>
      </c>
      <c r="E863" s="18" t="s">
        <v>42</v>
      </c>
      <c r="F863" s="21" t="s">
        <v>37</v>
      </c>
      <c r="G863" s="22" t="s">
        <v>920</v>
      </c>
      <c r="H863" s="22" t="s">
        <v>3650</v>
      </c>
      <c r="I863" s="22" t="s">
        <v>3651</v>
      </c>
      <c r="J863" s="18" t="s">
        <v>51</v>
      </c>
    </row>
    <row r="864" spans="1:10" ht="78.75" customHeight="1">
      <c r="A864" s="18" t="s">
        <v>3652</v>
      </c>
      <c r="B864" s="18" t="s">
        <v>523</v>
      </c>
      <c r="C864" s="19" t="s">
        <v>27</v>
      </c>
      <c r="D864" s="19" t="s">
        <v>3653</v>
      </c>
      <c r="E864" s="18" t="s">
        <v>42</v>
      </c>
      <c r="F864" s="18" t="s">
        <v>37</v>
      </c>
      <c r="G864" s="19" t="s">
        <v>920</v>
      </c>
      <c r="H864" s="19" t="s">
        <v>3654</v>
      </c>
      <c r="I864" s="19" t="s">
        <v>3655</v>
      </c>
      <c r="J864" s="18" t="s">
        <v>51</v>
      </c>
    </row>
    <row r="865" spans="1:10" ht="48.75" customHeight="1">
      <c r="A865" s="21" t="s">
        <v>3656</v>
      </c>
      <c r="B865" s="21" t="s">
        <v>523</v>
      </c>
      <c r="C865" s="22" t="s">
        <v>27</v>
      </c>
      <c r="D865" s="22" t="s">
        <v>3657</v>
      </c>
      <c r="E865" s="18" t="s">
        <v>46</v>
      </c>
      <c r="F865" s="21" t="s">
        <v>37</v>
      </c>
      <c r="G865" s="22" t="s">
        <v>823</v>
      </c>
      <c r="H865" s="22" t="s">
        <v>3658</v>
      </c>
      <c r="I865" s="22" t="s">
        <v>958</v>
      </c>
      <c r="J865" s="18" t="s">
        <v>51</v>
      </c>
    </row>
    <row r="866" spans="1:10" ht="48.75" customHeight="1">
      <c r="A866" s="18" t="s">
        <v>3659</v>
      </c>
      <c r="B866" s="18" t="s">
        <v>523</v>
      </c>
      <c r="C866" s="19" t="s">
        <v>27</v>
      </c>
      <c r="D866" s="19" t="s">
        <v>3660</v>
      </c>
      <c r="E866" s="18" t="s">
        <v>46</v>
      </c>
      <c r="F866" s="18" t="s">
        <v>37</v>
      </c>
      <c r="G866" s="19" t="s">
        <v>961</v>
      </c>
      <c r="H866" s="19" t="s">
        <v>3661</v>
      </c>
      <c r="I866" s="19" t="s">
        <v>958</v>
      </c>
      <c r="J866" s="18" t="s">
        <v>51</v>
      </c>
    </row>
    <row r="867" spans="1:10" ht="48.75" customHeight="1">
      <c r="A867" s="21" t="s">
        <v>3662</v>
      </c>
      <c r="B867" s="21" t="s">
        <v>523</v>
      </c>
      <c r="C867" s="22" t="s">
        <v>27</v>
      </c>
      <c r="D867" s="22" t="s">
        <v>3663</v>
      </c>
      <c r="E867" s="18" t="s">
        <v>46</v>
      </c>
      <c r="F867" s="21" t="s">
        <v>37</v>
      </c>
      <c r="G867" s="22" t="s">
        <v>828</v>
      </c>
      <c r="H867" s="22" t="s">
        <v>3664</v>
      </c>
      <c r="I867" s="22" t="s">
        <v>958</v>
      </c>
      <c r="J867" s="18" t="s">
        <v>51</v>
      </c>
    </row>
    <row r="868" spans="1:10" ht="78.75" customHeight="1">
      <c r="A868" s="18" t="s">
        <v>3665</v>
      </c>
      <c r="B868" s="18" t="s">
        <v>527</v>
      </c>
      <c r="C868" s="19" t="s">
        <v>27</v>
      </c>
      <c r="D868" s="19" t="s">
        <v>3666</v>
      </c>
      <c r="E868" s="18" t="s">
        <v>42</v>
      </c>
      <c r="F868" s="18" t="s">
        <v>33</v>
      </c>
      <c r="G868" s="19" t="s">
        <v>920</v>
      </c>
      <c r="H868" s="19" t="s">
        <v>3667</v>
      </c>
      <c r="I868" s="19" t="s">
        <v>3668</v>
      </c>
      <c r="J868" s="18" t="s">
        <v>51</v>
      </c>
    </row>
    <row r="869" spans="1:10" ht="78.75" customHeight="1">
      <c r="A869" s="21" t="s">
        <v>3669</v>
      </c>
      <c r="B869" s="21" t="s">
        <v>527</v>
      </c>
      <c r="C869" s="22" t="s">
        <v>27</v>
      </c>
      <c r="D869" s="22" t="s">
        <v>3670</v>
      </c>
      <c r="E869" s="18" t="s">
        <v>42</v>
      </c>
      <c r="F869" s="21" t="s">
        <v>33</v>
      </c>
      <c r="G869" s="22" t="s">
        <v>920</v>
      </c>
      <c r="H869" s="22" t="s">
        <v>3671</v>
      </c>
      <c r="I869" s="22" t="s">
        <v>3672</v>
      </c>
      <c r="J869" s="18" t="s">
        <v>51</v>
      </c>
    </row>
    <row r="870" spans="1:10" ht="78.75" customHeight="1">
      <c r="A870" s="18" t="s">
        <v>3673</v>
      </c>
      <c r="B870" s="18" t="s">
        <v>527</v>
      </c>
      <c r="C870" s="19" t="s">
        <v>27</v>
      </c>
      <c r="D870" s="19" t="s">
        <v>3674</v>
      </c>
      <c r="E870" s="18" t="s">
        <v>42</v>
      </c>
      <c r="F870" s="18" t="s">
        <v>33</v>
      </c>
      <c r="G870" s="19" t="s">
        <v>920</v>
      </c>
      <c r="H870" s="19" t="s">
        <v>3675</v>
      </c>
      <c r="I870" s="19" t="s">
        <v>3676</v>
      </c>
      <c r="J870" s="18" t="s">
        <v>51</v>
      </c>
    </row>
    <row r="871" spans="1:10" ht="48.75" customHeight="1">
      <c r="A871" s="21" t="s">
        <v>3677</v>
      </c>
      <c r="B871" s="21" t="s">
        <v>527</v>
      </c>
      <c r="C871" s="22" t="s">
        <v>27</v>
      </c>
      <c r="D871" s="22" t="s">
        <v>3678</v>
      </c>
      <c r="E871" s="18" t="s">
        <v>46</v>
      </c>
      <c r="F871" s="21" t="s">
        <v>33</v>
      </c>
      <c r="G871" s="22" t="s">
        <v>823</v>
      </c>
      <c r="H871" s="22" t="s">
        <v>3679</v>
      </c>
      <c r="I871" s="22" t="s">
        <v>958</v>
      </c>
      <c r="J871" s="18" t="s">
        <v>51</v>
      </c>
    </row>
    <row r="872" spans="1:10" ht="48.75" customHeight="1">
      <c r="A872" s="18" t="s">
        <v>3680</v>
      </c>
      <c r="B872" s="18" t="s">
        <v>527</v>
      </c>
      <c r="C872" s="19" t="s">
        <v>27</v>
      </c>
      <c r="D872" s="19" t="s">
        <v>3681</v>
      </c>
      <c r="E872" s="18" t="s">
        <v>46</v>
      </c>
      <c r="F872" s="18" t="s">
        <v>33</v>
      </c>
      <c r="G872" s="19" t="s">
        <v>961</v>
      </c>
      <c r="H872" s="19" t="s">
        <v>3682</v>
      </c>
      <c r="I872" s="19" t="s">
        <v>958</v>
      </c>
      <c r="J872" s="18" t="s">
        <v>51</v>
      </c>
    </row>
    <row r="873" spans="1:10" ht="48.75" customHeight="1">
      <c r="A873" s="21" t="s">
        <v>3683</v>
      </c>
      <c r="B873" s="21" t="s">
        <v>527</v>
      </c>
      <c r="C873" s="22" t="s">
        <v>27</v>
      </c>
      <c r="D873" s="22" t="s">
        <v>3684</v>
      </c>
      <c r="E873" s="18" t="s">
        <v>46</v>
      </c>
      <c r="F873" s="21" t="s">
        <v>33</v>
      </c>
      <c r="G873" s="22" t="s">
        <v>828</v>
      </c>
      <c r="H873" s="22" t="s">
        <v>3685</v>
      </c>
      <c r="I873" s="22" t="s">
        <v>958</v>
      </c>
      <c r="J873" s="18" t="s">
        <v>51</v>
      </c>
    </row>
    <row r="874" spans="1:10" ht="78.75" customHeight="1">
      <c r="A874" s="18" t="s">
        <v>3686</v>
      </c>
      <c r="B874" s="18" t="s">
        <v>531</v>
      </c>
      <c r="C874" s="19" t="s">
        <v>27</v>
      </c>
      <c r="D874" s="19" t="s">
        <v>3687</v>
      </c>
      <c r="E874" s="18" t="s">
        <v>42</v>
      </c>
      <c r="F874" s="18" t="s">
        <v>37</v>
      </c>
      <c r="G874" s="19" t="s">
        <v>920</v>
      </c>
      <c r="H874" s="19" t="s">
        <v>3688</v>
      </c>
      <c r="I874" s="19" t="s">
        <v>3689</v>
      </c>
      <c r="J874" s="18" t="s">
        <v>51</v>
      </c>
    </row>
    <row r="875" spans="1:10" ht="78.75" customHeight="1">
      <c r="A875" s="21" t="s">
        <v>3690</v>
      </c>
      <c r="B875" s="21" t="s">
        <v>531</v>
      </c>
      <c r="C875" s="22" t="s">
        <v>27</v>
      </c>
      <c r="D875" s="22" t="s">
        <v>3691</v>
      </c>
      <c r="E875" s="18" t="s">
        <v>42</v>
      </c>
      <c r="F875" s="21" t="s">
        <v>37</v>
      </c>
      <c r="G875" s="22" t="s">
        <v>920</v>
      </c>
      <c r="H875" s="22" t="s">
        <v>2723</v>
      </c>
      <c r="I875" s="22" t="s">
        <v>2724</v>
      </c>
      <c r="J875" s="18" t="s">
        <v>51</v>
      </c>
    </row>
    <row r="876" spans="1:10" ht="78.75" customHeight="1">
      <c r="A876" s="18" t="s">
        <v>3692</v>
      </c>
      <c r="B876" s="18" t="s">
        <v>531</v>
      </c>
      <c r="C876" s="19" t="s">
        <v>27</v>
      </c>
      <c r="D876" s="19" t="s">
        <v>3693</v>
      </c>
      <c r="E876" s="18" t="s">
        <v>42</v>
      </c>
      <c r="F876" s="18" t="s">
        <v>37</v>
      </c>
      <c r="G876" s="19" t="s">
        <v>920</v>
      </c>
      <c r="H876" s="19" t="s">
        <v>3694</v>
      </c>
      <c r="I876" s="19" t="s">
        <v>3695</v>
      </c>
      <c r="J876" s="18" t="s">
        <v>51</v>
      </c>
    </row>
    <row r="877" spans="1:10" ht="48.75" customHeight="1">
      <c r="A877" s="21" t="s">
        <v>3696</v>
      </c>
      <c r="B877" s="21" t="s">
        <v>531</v>
      </c>
      <c r="C877" s="22" t="s">
        <v>27</v>
      </c>
      <c r="D877" s="22" t="s">
        <v>3697</v>
      </c>
      <c r="E877" s="18" t="s">
        <v>46</v>
      </c>
      <c r="F877" s="21" t="s">
        <v>37</v>
      </c>
      <c r="G877" s="22" t="s">
        <v>823</v>
      </c>
      <c r="H877" s="22" t="s">
        <v>3698</v>
      </c>
      <c r="I877" s="22" t="s">
        <v>958</v>
      </c>
      <c r="J877" s="18" t="s">
        <v>51</v>
      </c>
    </row>
    <row r="878" spans="1:10" ht="48.75" customHeight="1">
      <c r="A878" s="18" t="s">
        <v>3699</v>
      </c>
      <c r="B878" s="18" t="s">
        <v>531</v>
      </c>
      <c r="C878" s="19" t="s">
        <v>27</v>
      </c>
      <c r="D878" s="19" t="s">
        <v>3700</v>
      </c>
      <c r="E878" s="18" t="s">
        <v>46</v>
      </c>
      <c r="F878" s="18" t="s">
        <v>37</v>
      </c>
      <c r="G878" s="19" t="s">
        <v>961</v>
      </c>
      <c r="H878" s="19" t="s">
        <v>3701</v>
      </c>
      <c r="I878" s="19" t="s">
        <v>958</v>
      </c>
      <c r="J878" s="18" t="s">
        <v>51</v>
      </c>
    </row>
    <row r="879" spans="1:10" ht="48.75" customHeight="1">
      <c r="A879" s="21" t="s">
        <v>3702</v>
      </c>
      <c r="B879" s="21" t="s">
        <v>531</v>
      </c>
      <c r="C879" s="22" t="s">
        <v>27</v>
      </c>
      <c r="D879" s="22" t="s">
        <v>3703</v>
      </c>
      <c r="E879" s="18" t="s">
        <v>46</v>
      </c>
      <c r="F879" s="21" t="s">
        <v>37</v>
      </c>
      <c r="G879" s="22" t="s">
        <v>828</v>
      </c>
      <c r="H879" s="22" t="s">
        <v>3704</v>
      </c>
      <c r="I879" s="22" t="s">
        <v>958</v>
      </c>
      <c r="J879" s="18" t="s">
        <v>51</v>
      </c>
    </row>
    <row r="880" spans="1:10" ht="78.75" customHeight="1">
      <c r="A880" s="18" t="s">
        <v>3705</v>
      </c>
      <c r="B880" s="18" t="s">
        <v>535</v>
      </c>
      <c r="C880" s="19" t="s">
        <v>27</v>
      </c>
      <c r="D880" s="19" t="s">
        <v>3706</v>
      </c>
      <c r="E880" s="18" t="s">
        <v>42</v>
      </c>
      <c r="F880" s="18" t="s">
        <v>37</v>
      </c>
      <c r="G880" s="19" t="s">
        <v>920</v>
      </c>
      <c r="H880" s="19" t="s">
        <v>3707</v>
      </c>
      <c r="I880" s="19" t="s">
        <v>3708</v>
      </c>
      <c r="J880" s="18" t="s">
        <v>51</v>
      </c>
    </row>
    <row r="881" spans="1:10" ht="78.75" customHeight="1">
      <c r="A881" s="21" t="s">
        <v>3709</v>
      </c>
      <c r="B881" s="21" t="s">
        <v>535</v>
      </c>
      <c r="C881" s="22" t="s">
        <v>27</v>
      </c>
      <c r="D881" s="22" t="s">
        <v>3710</v>
      </c>
      <c r="E881" s="18" t="s">
        <v>42</v>
      </c>
      <c r="F881" s="21" t="s">
        <v>37</v>
      </c>
      <c r="G881" s="22" t="s">
        <v>920</v>
      </c>
      <c r="H881" s="22" t="s">
        <v>3711</v>
      </c>
      <c r="I881" s="22" t="s">
        <v>3712</v>
      </c>
      <c r="J881" s="18" t="s">
        <v>51</v>
      </c>
    </row>
    <row r="882" spans="1:10" ht="78.75" customHeight="1">
      <c r="A882" s="18" t="s">
        <v>3713</v>
      </c>
      <c r="B882" s="18" t="s">
        <v>535</v>
      </c>
      <c r="C882" s="19" t="s">
        <v>27</v>
      </c>
      <c r="D882" s="19" t="s">
        <v>3714</v>
      </c>
      <c r="E882" s="18" t="s">
        <v>42</v>
      </c>
      <c r="F882" s="18" t="s">
        <v>37</v>
      </c>
      <c r="G882" s="19" t="s">
        <v>920</v>
      </c>
      <c r="H882" s="19" t="s">
        <v>3715</v>
      </c>
      <c r="I882" s="19" t="s">
        <v>3716</v>
      </c>
      <c r="J882" s="18" t="s">
        <v>51</v>
      </c>
    </row>
    <row r="883" spans="1:10" ht="48.75" customHeight="1">
      <c r="A883" s="21" t="s">
        <v>3717</v>
      </c>
      <c r="B883" s="21" t="s">
        <v>535</v>
      </c>
      <c r="C883" s="22" t="s">
        <v>27</v>
      </c>
      <c r="D883" s="22" t="s">
        <v>3718</v>
      </c>
      <c r="E883" s="18" t="s">
        <v>46</v>
      </c>
      <c r="F883" s="21" t="s">
        <v>37</v>
      </c>
      <c r="G883" s="22" t="s">
        <v>823</v>
      </c>
      <c r="H883" s="22" t="s">
        <v>3719</v>
      </c>
      <c r="I883" s="22" t="s">
        <v>958</v>
      </c>
      <c r="J883" s="18" t="s">
        <v>51</v>
      </c>
    </row>
    <row r="884" spans="1:10" ht="48.75" customHeight="1">
      <c r="A884" s="18" t="s">
        <v>3720</v>
      </c>
      <c r="B884" s="18" t="s">
        <v>535</v>
      </c>
      <c r="C884" s="19" t="s">
        <v>27</v>
      </c>
      <c r="D884" s="19" t="s">
        <v>3721</v>
      </c>
      <c r="E884" s="18" t="s">
        <v>46</v>
      </c>
      <c r="F884" s="18" t="s">
        <v>37</v>
      </c>
      <c r="G884" s="19" t="s">
        <v>961</v>
      </c>
      <c r="H884" s="19" t="s">
        <v>3722</v>
      </c>
      <c r="I884" s="19" t="s">
        <v>958</v>
      </c>
      <c r="J884" s="18" t="s">
        <v>51</v>
      </c>
    </row>
    <row r="885" spans="1:10" ht="48.75" customHeight="1">
      <c r="A885" s="21" t="s">
        <v>3723</v>
      </c>
      <c r="B885" s="21" t="s">
        <v>535</v>
      </c>
      <c r="C885" s="22" t="s">
        <v>27</v>
      </c>
      <c r="D885" s="22" t="s">
        <v>3724</v>
      </c>
      <c r="E885" s="18" t="s">
        <v>46</v>
      </c>
      <c r="F885" s="21" t="s">
        <v>37</v>
      </c>
      <c r="G885" s="22" t="s">
        <v>828</v>
      </c>
      <c r="H885" s="22" t="s">
        <v>3725</v>
      </c>
      <c r="I885" s="22" t="s">
        <v>958</v>
      </c>
      <c r="J885" s="18" t="s">
        <v>51</v>
      </c>
    </row>
    <row r="886" spans="1:10" ht="78.75" customHeight="1">
      <c r="A886" s="18" t="s">
        <v>3726</v>
      </c>
      <c r="B886" s="18" t="s">
        <v>539</v>
      </c>
      <c r="C886" s="19" t="s">
        <v>27</v>
      </c>
      <c r="D886" s="19" t="s">
        <v>3727</v>
      </c>
      <c r="E886" s="18" t="s">
        <v>42</v>
      </c>
      <c r="F886" s="18" t="s">
        <v>33</v>
      </c>
      <c r="G886" s="19" t="s">
        <v>920</v>
      </c>
      <c r="H886" s="19" t="s">
        <v>3728</v>
      </c>
      <c r="I886" s="19" t="s">
        <v>3729</v>
      </c>
      <c r="J886" s="18" t="s">
        <v>51</v>
      </c>
    </row>
    <row r="887" spans="1:10" ht="78.75" customHeight="1">
      <c r="A887" s="21" t="s">
        <v>3730</v>
      </c>
      <c r="B887" s="21" t="s">
        <v>539</v>
      </c>
      <c r="C887" s="22" t="s">
        <v>27</v>
      </c>
      <c r="D887" s="22" t="s">
        <v>3731</v>
      </c>
      <c r="E887" s="18" t="s">
        <v>42</v>
      </c>
      <c r="F887" s="21" t="s">
        <v>33</v>
      </c>
      <c r="G887" s="22" t="s">
        <v>920</v>
      </c>
      <c r="H887" s="22" t="s">
        <v>3732</v>
      </c>
      <c r="I887" s="22" t="s">
        <v>3733</v>
      </c>
      <c r="J887" s="18" t="s">
        <v>51</v>
      </c>
    </row>
    <row r="888" spans="1:10" ht="78.75" customHeight="1">
      <c r="A888" s="18" t="s">
        <v>3734</v>
      </c>
      <c r="B888" s="18" t="s">
        <v>539</v>
      </c>
      <c r="C888" s="19" t="s">
        <v>27</v>
      </c>
      <c r="D888" s="19" t="s">
        <v>3735</v>
      </c>
      <c r="E888" s="18" t="s">
        <v>42</v>
      </c>
      <c r="F888" s="18" t="s">
        <v>33</v>
      </c>
      <c r="G888" s="19" t="s">
        <v>920</v>
      </c>
      <c r="H888" s="19" t="s">
        <v>3736</v>
      </c>
      <c r="I888" s="19" t="s">
        <v>3737</v>
      </c>
      <c r="J888" s="18" t="s">
        <v>51</v>
      </c>
    </row>
    <row r="889" spans="1:10" ht="48.75" customHeight="1">
      <c r="A889" s="21" t="s">
        <v>3738</v>
      </c>
      <c r="B889" s="21" t="s">
        <v>539</v>
      </c>
      <c r="C889" s="22" t="s">
        <v>27</v>
      </c>
      <c r="D889" s="22" t="s">
        <v>3739</v>
      </c>
      <c r="E889" s="18" t="s">
        <v>46</v>
      </c>
      <c r="F889" s="21" t="s">
        <v>33</v>
      </c>
      <c r="G889" s="22" t="s">
        <v>823</v>
      </c>
      <c r="H889" s="22" t="s">
        <v>3740</v>
      </c>
      <c r="I889" s="22" t="s">
        <v>958</v>
      </c>
      <c r="J889" s="18" t="s">
        <v>51</v>
      </c>
    </row>
    <row r="890" spans="1:10" ht="48.75" customHeight="1">
      <c r="A890" s="18" t="s">
        <v>3741</v>
      </c>
      <c r="B890" s="18" t="s">
        <v>539</v>
      </c>
      <c r="C890" s="19" t="s">
        <v>27</v>
      </c>
      <c r="D890" s="19" t="s">
        <v>3742</v>
      </c>
      <c r="E890" s="18" t="s">
        <v>46</v>
      </c>
      <c r="F890" s="18" t="s">
        <v>33</v>
      </c>
      <c r="G890" s="19" t="s">
        <v>961</v>
      </c>
      <c r="H890" s="19" t="s">
        <v>3743</v>
      </c>
      <c r="I890" s="19" t="s">
        <v>958</v>
      </c>
      <c r="J890" s="18" t="s">
        <v>51</v>
      </c>
    </row>
    <row r="891" spans="1:10" ht="48.75" customHeight="1">
      <c r="A891" s="21" t="s">
        <v>3744</v>
      </c>
      <c r="B891" s="21" t="s">
        <v>539</v>
      </c>
      <c r="C891" s="22" t="s">
        <v>27</v>
      </c>
      <c r="D891" s="22" t="s">
        <v>3745</v>
      </c>
      <c r="E891" s="18" t="s">
        <v>46</v>
      </c>
      <c r="F891" s="21" t="s">
        <v>33</v>
      </c>
      <c r="G891" s="22" t="s">
        <v>828</v>
      </c>
      <c r="H891" s="22" t="s">
        <v>3746</v>
      </c>
      <c r="I891" s="22" t="s">
        <v>958</v>
      </c>
      <c r="J891" s="18" t="s">
        <v>51</v>
      </c>
    </row>
    <row r="892" spans="1:10" ht="78.75" customHeight="1">
      <c r="A892" s="18" t="s">
        <v>3747</v>
      </c>
      <c r="B892" s="18" t="s">
        <v>543</v>
      </c>
      <c r="C892" s="19" t="s">
        <v>27</v>
      </c>
      <c r="D892" s="19" t="s">
        <v>3748</v>
      </c>
      <c r="E892" s="18" t="s">
        <v>42</v>
      </c>
      <c r="F892" s="18" t="s">
        <v>33</v>
      </c>
      <c r="G892" s="19" t="s">
        <v>920</v>
      </c>
      <c r="H892" s="19" t="s">
        <v>3749</v>
      </c>
      <c r="I892" s="19" t="s">
        <v>3750</v>
      </c>
      <c r="J892" s="18" t="s">
        <v>51</v>
      </c>
    </row>
    <row r="893" spans="1:10" ht="78.75" customHeight="1">
      <c r="A893" s="21" t="s">
        <v>3751</v>
      </c>
      <c r="B893" s="21" t="s">
        <v>543</v>
      </c>
      <c r="C893" s="22" t="s">
        <v>27</v>
      </c>
      <c r="D893" s="22" t="s">
        <v>3752</v>
      </c>
      <c r="E893" s="18" t="s">
        <v>42</v>
      </c>
      <c r="F893" s="21" t="s">
        <v>33</v>
      </c>
      <c r="G893" s="22" t="s">
        <v>920</v>
      </c>
      <c r="H893" s="22" t="s">
        <v>3753</v>
      </c>
      <c r="I893" s="22" t="s">
        <v>3754</v>
      </c>
      <c r="J893" s="18" t="s">
        <v>51</v>
      </c>
    </row>
    <row r="894" spans="1:10" ht="78.75" customHeight="1">
      <c r="A894" s="18" t="s">
        <v>3755</v>
      </c>
      <c r="B894" s="18" t="s">
        <v>543</v>
      </c>
      <c r="C894" s="19" t="s">
        <v>27</v>
      </c>
      <c r="D894" s="19" t="s">
        <v>3756</v>
      </c>
      <c r="E894" s="18" t="s">
        <v>42</v>
      </c>
      <c r="F894" s="18" t="s">
        <v>33</v>
      </c>
      <c r="G894" s="19" t="s">
        <v>920</v>
      </c>
      <c r="H894" s="19" t="s">
        <v>3757</v>
      </c>
      <c r="I894" s="19" t="s">
        <v>3758</v>
      </c>
      <c r="J894" s="18" t="s">
        <v>51</v>
      </c>
    </row>
    <row r="895" spans="1:10" ht="48.75" customHeight="1">
      <c r="A895" s="21" t="s">
        <v>3759</v>
      </c>
      <c r="B895" s="21" t="s">
        <v>543</v>
      </c>
      <c r="C895" s="22" t="s">
        <v>27</v>
      </c>
      <c r="D895" s="22" t="s">
        <v>3760</v>
      </c>
      <c r="E895" s="18" t="s">
        <v>46</v>
      </c>
      <c r="F895" s="21" t="s">
        <v>33</v>
      </c>
      <c r="G895" s="22" t="s">
        <v>823</v>
      </c>
      <c r="H895" s="22" t="s">
        <v>3761</v>
      </c>
      <c r="I895" s="22" t="s">
        <v>958</v>
      </c>
      <c r="J895" s="18" t="s">
        <v>51</v>
      </c>
    </row>
    <row r="896" spans="1:10" ht="48.75" customHeight="1">
      <c r="A896" s="18" t="s">
        <v>3762</v>
      </c>
      <c r="B896" s="18" t="s">
        <v>543</v>
      </c>
      <c r="C896" s="19" t="s">
        <v>27</v>
      </c>
      <c r="D896" s="19" t="s">
        <v>3763</v>
      </c>
      <c r="E896" s="18" t="s">
        <v>46</v>
      </c>
      <c r="F896" s="18" t="s">
        <v>33</v>
      </c>
      <c r="G896" s="19" t="s">
        <v>961</v>
      </c>
      <c r="H896" s="19" t="s">
        <v>3764</v>
      </c>
      <c r="I896" s="19" t="s">
        <v>958</v>
      </c>
      <c r="J896" s="18" t="s">
        <v>51</v>
      </c>
    </row>
    <row r="897" spans="1:10" ht="48.75" customHeight="1">
      <c r="A897" s="21" t="s">
        <v>3765</v>
      </c>
      <c r="B897" s="21" t="s">
        <v>543</v>
      </c>
      <c r="C897" s="22" t="s">
        <v>27</v>
      </c>
      <c r="D897" s="22" t="s">
        <v>3766</v>
      </c>
      <c r="E897" s="18" t="s">
        <v>46</v>
      </c>
      <c r="F897" s="21" t="s">
        <v>33</v>
      </c>
      <c r="G897" s="22" t="s">
        <v>828</v>
      </c>
      <c r="H897" s="22" t="s">
        <v>3767</v>
      </c>
      <c r="I897" s="22" t="s">
        <v>958</v>
      </c>
      <c r="J897" s="18" t="s">
        <v>51</v>
      </c>
    </row>
    <row r="898" spans="1:10" ht="78.75" customHeight="1">
      <c r="A898" s="18" t="s">
        <v>3768</v>
      </c>
      <c r="B898" s="18" t="s">
        <v>547</v>
      </c>
      <c r="C898" s="19" t="s">
        <v>27</v>
      </c>
      <c r="D898" s="19" t="s">
        <v>3769</v>
      </c>
      <c r="E898" s="18" t="s">
        <v>42</v>
      </c>
      <c r="F898" s="18" t="s">
        <v>35</v>
      </c>
      <c r="G898" s="19" t="s">
        <v>920</v>
      </c>
      <c r="H898" s="19" t="s">
        <v>3770</v>
      </c>
      <c r="I898" s="19" t="s">
        <v>3771</v>
      </c>
      <c r="J898" s="18" t="s">
        <v>51</v>
      </c>
    </row>
    <row r="899" spans="1:10" ht="78.75" customHeight="1">
      <c r="A899" s="21" t="s">
        <v>3772</v>
      </c>
      <c r="B899" s="21" t="s">
        <v>547</v>
      </c>
      <c r="C899" s="22" t="s">
        <v>27</v>
      </c>
      <c r="D899" s="22" t="s">
        <v>3773</v>
      </c>
      <c r="E899" s="18" t="s">
        <v>42</v>
      </c>
      <c r="F899" s="21" t="s">
        <v>35</v>
      </c>
      <c r="G899" s="22" t="s">
        <v>920</v>
      </c>
      <c r="H899" s="22" t="s">
        <v>3774</v>
      </c>
      <c r="I899" s="22" t="s">
        <v>3775</v>
      </c>
      <c r="J899" s="18" t="s">
        <v>51</v>
      </c>
    </row>
    <row r="900" spans="1:10" ht="78.75" customHeight="1">
      <c r="A900" s="18" t="s">
        <v>3776</v>
      </c>
      <c r="B900" s="18" t="s">
        <v>547</v>
      </c>
      <c r="C900" s="19" t="s">
        <v>27</v>
      </c>
      <c r="D900" s="19" t="s">
        <v>3777</v>
      </c>
      <c r="E900" s="18" t="s">
        <v>42</v>
      </c>
      <c r="F900" s="18" t="s">
        <v>35</v>
      </c>
      <c r="G900" s="19" t="s">
        <v>920</v>
      </c>
      <c r="H900" s="19" t="s">
        <v>3778</v>
      </c>
      <c r="I900" s="19" t="s">
        <v>3779</v>
      </c>
      <c r="J900" s="18" t="s">
        <v>51</v>
      </c>
    </row>
    <row r="901" spans="1:10" ht="48.75" customHeight="1">
      <c r="A901" s="21" t="s">
        <v>3780</v>
      </c>
      <c r="B901" s="21" t="s">
        <v>547</v>
      </c>
      <c r="C901" s="22" t="s">
        <v>27</v>
      </c>
      <c r="D901" s="22" t="s">
        <v>3781</v>
      </c>
      <c r="E901" s="18" t="s">
        <v>46</v>
      </c>
      <c r="F901" s="21" t="s">
        <v>35</v>
      </c>
      <c r="G901" s="22" t="s">
        <v>823</v>
      </c>
      <c r="H901" s="22" t="s">
        <v>3782</v>
      </c>
      <c r="I901" s="22" t="s">
        <v>958</v>
      </c>
      <c r="J901" s="18" t="s">
        <v>51</v>
      </c>
    </row>
    <row r="902" spans="1:10" ht="48.75" customHeight="1">
      <c r="A902" s="18" t="s">
        <v>3783</v>
      </c>
      <c r="B902" s="18" t="s">
        <v>547</v>
      </c>
      <c r="C902" s="19" t="s">
        <v>27</v>
      </c>
      <c r="D902" s="19" t="s">
        <v>3784</v>
      </c>
      <c r="E902" s="18" t="s">
        <v>46</v>
      </c>
      <c r="F902" s="18" t="s">
        <v>35</v>
      </c>
      <c r="G902" s="19" t="s">
        <v>961</v>
      </c>
      <c r="H902" s="19" t="s">
        <v>3785</v>
      </c>
      <c r="I902" s="19" t="s">
        <v>958</v>
      </c>
      <c r="J902" s="18" t="s">
        <v>51</v>
      </c>
    </row>
    <row r="903" spans="1:10" ht="48.75" customHeight="1">
      <c r="A903" s="21" t="s">
        <v>3786</v>
      </c>
      <c r="B903" s="21" t="s">
        <v>547</v>
      </c>
      <c r="C903" s="22" t="s">
        <v>27</v>
      </c>
      <c r="D903" s="22" t="s">
        <v>3787</v>
      </c>
      <c r="E903" s="18" t="s">
        <v>46</v>
      </c>
      <c r="F903" s="21" t="s">
        <v>35</v>
      </c>
      <c r="G903" s="22" t="s">
        <v>828</v>
      </c>
      <c r="H903" s="22" t="s">
        <v>3788</v>
      </c>
      <c r="I903" s="22" t="s">
        <v>958</v>
      </c>
      <c r="J903" s="18" t="s">
        <v>51</v>
      </c>
    </row>
    <row r="904" spans="1:10" ht="78.75" customHeight="1">
      <c r="A904" s="18" t="s">
        <v>3789</v>
      </c>
      <c r="B904" s="18" t="s">
        <v>547</v>
      </c>
      <c r="C904" s="19" t="s">
        <v>27</v>
      </c>
      <c r="D904" s="19" t="s">
        <v>3790</v>
      </c>
      <c r="E904" s="18" t="s">
        <v>44</v>
      </c>
      <c r="F904" s="18" t="s">
        <v>35</v>
      </c>
      <c r="G904" s="19" t="s">
        <v>920</v>
      </c>
      <c r="H904" s="19" t="s">
        <v>1364</v>
      </c>
      <c r="I904" s="19" t="s">
        <v>1284</v>
      </c>
      <c r="J904" s="18" t="s">
        <v>51</v>
      </c>
    </row>
    <row r="905" spans="1:10" ht="78.75" customHeight="1">
      <c r="A905" s="21" t="s">
        <v>3791</v>
      </c>
      <c r="B905" s="21" t="s">
        <v>547</v>
      </c>
      <c r="C905" s="22" t="s">
        <v>27</v>
      </c>
      <c r="D905" s="22" t="s">
        <v>3792</v>
      </c>
      <c r="E905" s="18" t="s">
        <v>42</v>
      </c>
      <c r="F905" s="21" t="s">
        <v>35</v>
      </c>
      <c r="G905" s="22" t="s">
        <v>920</v>
      </c>
      <c r="H905" s="22" t="s">
        <v>1367</v>
      </c>
      <c r="I905" s="22" t="s">
        <v>1288</v>
      </c>
      <c r="J905" s="18" t="s">
        <v>51</v>
      </c>
    </row>
    <row r="906" spans="1:10" ht="78.75" customHeight="1">
      <c r="A906" s="18" t="s">
        <v>3793</v>
      </c>
      <c r="B906" s="18" t="s">
        <v>551</v>
      </c>
      <c r="C906" s="19" t="s">
        <v>27</v>
      </c>
      <c r="D906" s="19" t="s">
        <v>3794</v>
      </c>
      <c r="E906" s="18" t="s">
        <v>42</v>
      </c>
      <c r="F906" s="18" t="s">
        <v>37</v>
      </c>
      <c r="G906" s="19" t="s">
        <v>920</v>
      </c>
      <c r="H906" s="19" t="s">
        <v>3795</v>
      </c>
      <c r="I906" s="19" t="s">
        <v>3796</v>
      </c>
      <c r="J906" s="18" t="s">
        <v>51</v>
      </c>
    </row>
    <row r="907" spans="1:10" ht="78.75" customHeight="1">
      <c r="A907" s="21" t="s">
        <v>3797</v>
      </c>
      <c r="B907" s="21" t="s">
        <v>551</v>
      </c>
      <c r="C907" s="22" t="s">
        <v>27</v>
      </c>
      <c r="D907" s="22" t="s">
        <v>3798</v>
      </c>
      <c r="E907" s="18" t="s">
        <v>42</v>
      </c>
      <c r="F907" s="21" t="s">
        <v>37</v>
      </c>
      <c r="G907" s="22" t="s">
        <v>920</v>
      </c>
      <c r="H907" s="22" t="s">
        <v>3799</v>
      </c>
      <c r="I907" s="22" t="s">
        <v>3800</v>
      </c>
      <c r="J907" s="18" t="s">
        <v>51</v>
      </c>
    </row>
    <row r="908" spans="1:10" ht="78.75" customHeight="1">
      <c r="A908" s="18" t="s">
        <v>3801</v>
      </c>
      <c r="B908" s="18" t="s">
        <v>551</v>
      </c>
      <c r="C908" s="19" t="s">
        <v>27</v>
      </c>
      <c r="D908" s="19" t="s">
        <v>3802</v>
      </c>
      <c r="E908" s="18" t="s">
        <v>42</v>
      </c>
      <c r="F908" s="18" t="s">
        <v>37</v>
      </c>
      <c r="G908" s="19" t="s">
        <v>920</v>
      </c>
      <c r="H908" s="19" t="s">
        <v>3803</v>
      </c>
      <c r="I908" s="19" t="s">
        <v>3804</v>
      </c>
      <c r="J908" s="18" t="s">
        <v>51</v>
      </c>
    </row>
    <row r="909" spans="1:10" ht="48.75" customHeight="1">
      <c r="A909" s="21" t="s">
        <v>3805</v>
      </c>
      <c r="B909" s="21" t="s">
        <v>551</v>
      </c>
      <c r="C909" s="22" t="s">
        <v>27</v>
      </c>
      <c r="D909" s="22" t="s">
        <v>3806</v>
      </c>
      <c r="E909" s="18" t="s">
        <v>46</v>
      </c>
      <c r="F909" s="21" t="s">
        <v>37</v>
      </c>
      <c r="G909" s="22" t="s">
        <v>823</v>
      </c>
      <c r="H909" s="22" t="s">
        <v>3807</v>
      </c>
      <c r="I909" s="22" t="s">
        <v>958</v>
      </c>
      <c r="J909" s="18" t="s">
        <v>51</v>
      </c>
    </row>
    <row r="910" spans="1:10" ht="48.75" customHeight="1">
      <c r="A910" s="18" t="s">
        <v>3808</v>
      </c>
      <c r="B910" s="18" t="s">
        <v>551</v>
      </c>
      <c r="C910" s="19" t="s">
        <v>27</v>
      </c>
      <c r="D910" s="19" t="s">
        <v>3809</v>
      </c>
      <c r="E910" s="18" t="s">
        <v>46</v>
      </c>
      <c r="F910" s="18" t="s">
        <v>37</v>
      </c>
      <c r="G910" s="19" t="s">
        <v>961</v>
      </c>
      <c r="H910" s="19" t="s">
        <v>3810</v>
      </c>
      <c r="I910" s="19" t="s">
        <v>958</v>
      </c>
      <c r="J910" s="18" t="s">
        <v>51</v>
      </c>
    </row>
    <row r="911" spans="1:10" ht="48.75" customHeight="1">
      <c r="A911" s="21" t="s">
        <v>3811</v>
      </c>
      <c r="B911" s="21" t="s">
        <v>551</v>
      </c>
      <c r="C911" s="22" t="s">
        <v>27</v>
      </c>
      <c r="D911" s="22" t="s">
        <v>3812</v>
      </c>
      <c r="E911" s="18" t="s">
        <v>46</v>
      </c>
      <c r="F911" s="21" t="s">
        <v>37</v>
      </c>
      <c r="G911" s="22" t="s">
        <v>828</v>
      </c>
      <c r="H911" s="22" t="s">
        <v>3813</v>
      </c>
      <c r="I911" s="22" t="s">
        <v>958</v>
      </c>
      <c r="J911" s="18" t="s">
        <v>51</v>
      </c>
    </row>
    <row r="912" spans="1:10" ht="78.75" customHeight="1">
      <c r="A912" s="18" t="s">
        <v>3814</v>
      </c>
      <c r="B912" s="18" t="s">
        <v>555</v>
      </c>
      <c r="C912" s="19" t="s">
        <v>27</v>
      </c>
      <c r="D912" s="19" t="s">
        <v>3815</v>
      </c>
      <c r="E912" s="18" t="s">
        <v>42</v>
      </c>
      <c r="F912" s="18" t="s">
        <v>35</v>
      </c>
      <c r="G912" s="19" t="s">
        <v>920</v>
      </c>
      <c r="H912" s="19" t="s">
        <v>3816</v>
      </c>
      <c r="I912" s="19" t="s">
        <v>3817</v>
      </c>
      <c r="J912" s="18" t="s">
        <v>51</v>
      </c>
    </row>
    <row r="913" spans="1:10" ht="78.75" customHeight="1">
      <c r="A913" s="21" t="s">
        <v>3818</v>
      </c>
      <c r="B913" s="21" t="s">
        <v>555</v>
      </c>
      <c r="C913" s="22" t="s">
        <v>27</v>
      </c>
      <c r="D913" s="22" t="s">
        <v>3819</v>
      </c>
      <c r="E913" s="18" t="s">
        <v>42</v>
      </c>
      <c r="F913" s="21" t="s">
        <v>35</v>
      </c>
      <c r="G913" s="22" t="s">
        <v>920</v>
      </c>
      <c r="H913" s="22" t="s">
        <v>3820</v>
      </c>
      <c r="I913" s="22" t="s">
        <v>3821</v>
      </c>
      <c r="J913" s="18" t="s">
        <v>51</v>
      </c>
    </row>
    <row r="914" spans="1:10" ht="78.75" customHeight="1">
      <c r="A914" s="18" t="s">
        <v>3822</v>
      </c>
      <c r="B914" s="18" t="s">
        <v>555</v>
      </c>
      <c r="C914" s="19" t="s">
        <v>27</v>
      </c>
      <c r="D914" s="19" t="s">
        <v>3823</v>
      </c>
      <c r="E914" s="18" t="s">
        <v>42</v>
      </c>
      <c r="F914" s="18" t="s">
        <v>35</v>
      </c>
      <c r="G914" s="19" t="s">
        <v>920</v>
      </c>
      <c r="H914" s="19" t="s">
        <v>3824</v>
      </c>
      <c r="I914" s="19" t="s">
        <v>3825</v>
      </c>
      <c r="J914" s="18" t="s">
        <v>51</v>
      </c>
    </row>
    <row r="915" spans="1:10" ht="78.75" customHeight="1">
      <c r="A915" s="21" t="s">
        <v>3826</v>
      </c>
      <c r="B915" s="21" t="s">
        <v>555</v>
      </c>
      <c r="C915" s="22" t="s">
        <v>27</v>
      </c>
      <c r="D915" s="22" t="s">
        <v>3827</v>
      </c>
      <c r="E915" s="18" t="s">
        <v>42</v>
      </c>
      <c r="F915" s="21" t="s">
        <v>35</v>
      </c>
      <c r="G915" s="22" t="s">
        <v>920</v>
      </c>
      <c r="H915" s="22" t="s">
        <v>3828</v>
      </c>
      <c r="I915" s="22" t="s">
        <v>3829</v>
      </c>
      <c r="J915" s="18" t="s">
        <v>51</v>
      </c>
    </row>
    <row r="916" spans="1:10" ht="48.75" customHeight="1">
      <c r="A916" s="18" t="s">
        <v>3830</v>
      </c>
      <c r="B916" s="18" t="s">
        <v>555</v>
      </c>
      <c r="C916" s="19" t="s">
        <v>27</v>
      </c>
      <c r="D916" s="19" t="s">
        <v>3831</v>
      </c>
      <c r="E916" s="18" t="s">
        <v>46</v>
      </c>
      <c r="F916" s="18" t="s">
        <v>35</v>
      </c>
      <c r="G916" s="19" t="s">
        <v>823</v>
      </c>
      <c r="H916" s="19" t="s">
        <v>3832</v>
      </c>
      <c r="I916" s="19" t="s">
        <v>958</v>
      </c>
      <c r="J916" s="18" t="s">
        <v>51</v>
      </c>
    </row>
    <row r="917" spans="1:10" ht="48.75" customHeight="1">
      <c r="A917" s="21" t="s">
        <v>3833</v>
      </c>
      <c r="B917" s="21" t="s">
        <v>555</v>
      </c>
      <c r="C917" s="22" t="s">
        <v>27</v>
      </c>
      <c r="D917" s="22" t="s">
        <v>3834</v>
      </c>
      <c r="E917" s="18" t="s">
        <v>46</v>
      </c>
      <c r="F917" s="21" t="s">
        <v>35</v>
      </c>
      <c r="G917" s="22" t="s">
        <v>961</v>
      </c>
      <c r="H917" s="22" t="s">
        <v>3835</v>
      </c>
      <c r="I917" s="22" t="s">
        <v>958</v>
      </c>
      <c r="J917" s="18" t="s">
        <v>51</v>
      </c>
    </row>
    <row r="918" spans="1:10" ht="48.75" customHeight="1">
      <c r="A918" s="18" t="s">
        <v>3836</v>
      </c>
      <c r="B918" s="18" t="s">
        <v>555</v>
      </c>
      <c r="C918" s="19" t="s">
        <v>27</v>
      </c>
      <c r="D918" s="19" t="s">
        <v>3837</v>
      </c>
      <c r="E918" s="18" t="s">
        <v>46</v>
      </c>
      <c r="F918" s="18" t="s">
        <v>35</v>
      </c>
      <c r="G918" s="19" t="s">
        <v>828</v>
      </c>
      <c r="H918" s="19" t="s">
        <v>3838</v>
      </c>
      <c r="I918" s="19" t="s">
        <v>958</v>
      </c>
      <c r="J918" s="18" t="s">
        <v>51</v>
      </c>
    </row>
    <row r="919" spans="1:10" ht="78.75" customHeight="1">
      <c r="A919" s="21" t="s">
        <v>3839</v>
      </c>
      <c r="B919" s="21" t="s">
        <v>555</v>
      </c>
      <c r="C919" s="22" t="s">
        <v>27</v>
      </c>
      <c r="D919" s="22" t="s">
        <v>3840</v>
      </c>
      <c r="E919" s="18" t="s">
        <v>44</v>
      </c>
      <c r="F919" s="21" t="s">
        <v>35</v>
      </c>
      <c r="G919" s="22" t="s">
        <v>920</v>
      </c>
      <c r="H919" s="22" t="s">
        <v>1364</v>
      </c>
      <c r="I919" s="22" t="s">
        <v>1284</v>
      </c>
      <c r="J919" s="18" t="s">
        <v>51</v>
      </c>
    </row>
    <row r="920" spans="1:10" ht="78.75" customHeight="1">
      <c r="A920" s="18" t="s">
        <v>3841</v>
      </c>
      <c r="B920" s="18" t="s">
        <v>555</v>
      </c>
      <c r="C920" s="19" t="s">
        <v>27</v>
      </c>
      <c r="D920" s="19" t="s">
        <v>3842</v>
      </c>
      <c r="E920" s="18" t="s">
        <v>42</v>
      </c>
      <c r="F920" s="18" t="s">
        <v>35</v>
      </c>
      <c r="G920" s="19" t="s">
        <v>920</v>
      </c>
      <c r="H920" s="19" t="s">
        <v>1367</v>
      </c>
      <c r="I920" s="19" t="s">
        <v>1288</v>
      </c>
      <c r="J920" s="18" t="s">
        <v>51</v>
      </c>
    </row>
    <row r="921" spans="1:10" ht="78.75" customHeight="1">
      <c r="A921" s="21" t="s">
        <v>3843</v>
      </c>
      <c r="B921" s="21" t="s">
        <v>559</v>
      </c>
      <c r="C921" s="22" t="s">
        <v>27</v>
      </c>
      <c r="D921" s="22" t="s">
        <v>3844</v>
      </c>
      <c r="E921" s="18" t="s">
        <v>42</v>
      </c>
      <c r="F921" s="21" t="s">
        <v>37</v>
      </c>
      <c r="G921" s="22" t="s">
        <v>920</v>
      </c>
      <c r="H921" s="22" t="s">
        <v>3845</v>
      </c>
      <c r="I921" s="22" t="s">
        <v>3846</v>
      </c>
      <c r="J921" s="18" t="s">
        <v>51</v>
      </c>
    </row>
    <row r="922" spans="1:10" ht="78.75" customHeight="1">
      <c r="A922" s="18" t="s">
        <v>3847</v>
      </c>
      <c r="B922" s="18" t="s">
        <v>559</v>
      </c>
      <c r="C922" s="19" t="s">
        <v>27</v>
      </c>
      <c r="D922" s="19" t="s">
        <v>3848</v>
      </c>
      <c r="E922" s="18" t="s">
        <v>42</v>
      </c>
      <c r="F922" s="18" t="s">
        <v>37</v>
      </c>
      <c r="G922" s="19" t="s">
        <v>920</v>
      </c>
      <c r="H922" s="19" t="s">
        <v>3849</v>
      </c>
      <c r="I922" s="19" t="s">
        <v>3850</v>
      </c>
      <c r="J922" s="18" t="s">
        <v>51</v>
      </c>
    </row>
    <row r="923" spans="1:10" ht="78.75" customHeight="1">
      <c r="A923" s="21" t="s">
        <v>3851</v>
      </c>
      <c r="B923" s="21" t="s">
        <v>559</v>
      </c>
      <c r="C923" s="22" t="s">
        <v>27</v>
      </c>
      <c r="D923" s="22" t="s">
        <v>3852</v>
      </c>
      <c r="E923" s="18" t="s">
        <v>42</v>
      </c>
      <c r="F923" s="21" t="s">
        <v>37</v>
      </c>
      <c r="G923" s="22" t="s">
        <v>920</v>
      </c>
      <c r="H923" s="22" t="s">
        <v>3853</v>
      </c>
      <c r="I923" s="22" t="s">
        <v>3854</v>
      </c>
      <c r="J923" s="18" t="s">
        <v>51</v>
      </c>
    </row>
    <row r="924" spans="1:10" ht="48.75" customHeight="1">
      <c r="A924" s="18" t="s">
        <v>3855</v>
      </c>
      <c r="B924" s="18" t="s">
        <v>559</v>
      </c>
      <c r="C924" s="19" t="s">
        <v>27</v>
      </c>
      <c r="D924" s="19" t="s">
        <v>3856</v>
      </c>
      <c r="E924" s="18" t="s">
        <v>46</v>
      </c>
      <c r="F924" s="18" t="s">
        <v>37</v>
      </c>
      <c r="G924" s="19" t="s">
        <v>823</v>
      </c>
      <c r="H924" s="19" t="s">
        <v>3857</v>
      </c>
      <c r="I924" s="19" t="s">
        <v>958</v>
      </c>
      <c r="J924" s="18" t="s">
        <v>51</v>
      </c>
    </row>
    <row r="925" spans="1:10" ht="48.75" customHeight="1">
      <c r="A925" s="21" t="s">
        <v>3858</v>
      </c>
      <c r="B925" s="21" t="s">
        <v>559</v>
      </c>
      <c r="C925" s="22" t="s">
        <v>27</v>
      </c>
      <c r="D925" s="22" t="s">
        <v>3859</v>
      </c>
      <c r="E925" s="18" t="s">
        <v>46</v>
      </c>
      <c r="F925" s="21" t="s">
        <v>37</v>
      </c>
      <c r="G925" s="22" t="s">
        <v>961</v>
      </c>
      <c r="H925" s="22" t="s">
        <v>3860</v>
      </c>
      <c r="I925" s="22" t="s">
        <v>958</v>
      </c>
      <c r="J925" s="18" t="s">
        <v>51</v>
      </c>
    </row>
    <row r="926" spans="1:10" ht="48.75" customHeight="1">
      <c r="A926" s="18" t="s">
        <v>3861</v>
      </c>
      <c r="B926" s="18" t="s">
        <v>559</v>
      </c>
      <c r="C926" s="19" t="s">
        <v>27</v>
      </c>
      <c r="D926" s="19" t="s">
        <v>3862</v>
      </c>
      <c r="E926" s="18" t="s">
        <v>46</v>
      </c>
      <c r="F926" s="18" t="s">
        <v>37</v>
      </c>
      <c r="G926" s="19" t="s">
        <v>828</v>
      </c>
      <c r="H926" s="19" t="s">
        <v>3863</v>
      </c>
      <c r="I926" s="19" t="s">
        <v>958</v>
      </c>
      <c r="J926" s="18" t="s">
        <v>51</v>
      </c>
    </row>
    <row r="927" spans="1:10" ht="78.75" customHeight="1">
      <c r="A927" s="21" t="s">
        <v>3864</v>
      </c>
      <c r="B927" s="21" t="s">
        <v>563</v>
      </c>
      <c r="C927" s="22" t="s">
        <v>27</v>
      </c>
      <c r="D927" s="22" t="s">
        <v>3865</v>
      </c>
      <c r="E927" s="18" t="s">
        <v>42</v>
      </c>
      <c r="F927" s="21" t="s">
        <v>37</v>
      </c>
      <c r="G927" s="22" t="s">
        <v>920</v>
      </c>
      <c r="H927" s="22" t="s">
        <v>3866</v>
      </c>
      <c r="I927" s="22" t="s">
        <v>3867</v>
      </c>
      <c r="J927" s="18" t="s">
        <v>51</v>
      </c>
    </row>
    <row r="928" spans="1:10" ht="78.75" customHeight="1">
      <c r="A928" s="18" t="s">
        <v>3868</v>
      </c>
      <c r="B928" s="18" t="s">
        <v>563</v>
      </c>
      <c r="C928" s="19" t="s">
        <v>27</v>
      </c>
      <c r="D928" s="19" t="s">
        <v>3869</v>
      </c>
      <c r="E928" s="18" t="s">
        <v>42</v>
      </c>
      <c r="F928" s="18" t="s">
        <v>37</v>
      </c>
      <c r="G928" s="19" t="s">
        <v>920</v>
      </c>
      <c r="H928" s="19" t="s">
        <v>3778</v>
      </c>
      <c r="I928" s="19" t="s">
        <v>3779</v>
      </c>
      <c r="J928" s="18" t="s">
        <v>51</v>
      </c>
    </row>
    <row r="929" spans="1:10" ht="78.75" customHeight="1">
      <c r="A929" s="21" t="s">
        <v>3870</v>
      </c>
      <c r="B929" s="21" t="s">
        <v>563</v>
      </c>
      <c r="C929" s="22" t="s">
        <v>27</v>
      </c>
      <c r="D929" s="22" t="s">
        <v>3871</v>
      </c>
      <c r="E929" s="18" t="s">
        <v>42</v>
      </c>
      <c r="F929" s="21" t="s">
        <v>37</v>
      </c>
      <c r="G929" s="22" t="s">
        <v>920</v>
      </c>
      <c r="H929" s="22" t="s">
        <v>3872</v>
      </c>
      <c r="I929" s="22" t="s">
        <v>3873</v>
      </c>
      <c r="J929" s="18" t="s">
        <v>51</v>
      </c>
    </row>
    <row r="930" spans="1:10" ht="48.75" customHeight="1">
      <c r="A930" s="18" t="s">
        <v>3874</v>
      </c>
      <c r="B930" s="18" t="s">
        <v>563</v>
      </c>
      <c r="C930" s="19" t="s">
        <v>27</v>
      </c>
      <c r="D930" s="19" t="s">
        <v>3875</v>
      </c>
      <c r="E930" s="18" t="s">
        <v>46</v>
      </c>
      <c r="F930" s="18" t="s">
        <v>37</v>
      </c>
      <c r="G930" s="19" t="s">
        <v>823</v>
      </c>
      <c r="H930" s="19" t="s">
        <v>3876</v>
      </c>
      <c r="I930" s="19" t="s">
        <v>958</v>
      </c>
      <c r="J930" s="18" t="s">
        <v>51</v>
      </c>
    </row>
    <row r="931" spans="1:10" ht="48.75" customHeight="1">
      <c r="A931" s="21" t="s">
        <v>3877</v>
      </c>
      <c r="B931" s="21" t="s">
        <v>563</v>
      </c>
      <c r="C931" s="22" t="s">
        <v>27</v>
      </c>
      <c r="D931" s="22" t="s">
        <v>3878</v>
      </c>
      <c r="E931" s="18" t="s">
        <v>46</v>
      </c>
      <c r="F931" s="21" t="s">
        <v>37</v>
      </c>
      <c r="G931" s="22" t="s">
        <v>961</v>
      </c>
      <c r="H931" s="22" t="s">
        <v>3879</v>
      </c>
      <c r="I931" s="22" t="s">
        <v>958</v>
      </c>
      <c r="J931" s="18" t="s">
        <v>51</v>
      </c>
    </row>
    <row r="932" spans="1:10" ht="48.75" customHeight="1">
      <c r="A932" s="18" t="s">
        <v>3880</v>
      </c>
      <c r="B932" s="18" t="s">
        <v>563</v>
      </c>
      <c r="C932" s="19" t="s">
        <v>27</v>
      </c>
      <c r="D932" s="19" t="s">
        <v>3881</v>
      </c>
      <c r="E932" s="18" t="s">
        <v>46</v>
      </c>
      <c r="F932" s="18" t="s">
        <v>37</v>
      </c>
      <c r="G932" s="19" t="s">
        <v>828</v>
      </c>
      <c r="H932" s="19" t="s">
        <v>3882</v>
      </c>
      <c r="I932" s="19" t="s">
        <v>958</v>
      </c>
      <c r="J932" s="18" t="s">
        <v>51</v>
      </c>
    </row>
    <row r="933" spans="1:10" ht="78.75" customHeight="1">
      <c r="A933" s="21" t="s">
        <v>3883</v>
      </c>
      <c r="B933" s="21" t="s">
        <v>563</v>
      </c>
      <c r="C933" s="22" t="s">
        <v>27</v>
      </c>
      <c r="D933" s="22" t="s">
        <v>3884</v>
      </c>
      <c r="E933" s="18" t="s">
        <v>44</v>
      </c>
      <c r="F933" s="21" t="s">
        <v>37</v>
      </c>
      <c r="G933" s="22" t="s">
        <v>920</v>
      </c>
      <c r="H933" s="22" t="s">
        <v>1364</v>
      </c>
      <c r="I933" s="22" t="s">
        <v>1284</v>
      </c>
      <c r="J933" s="18" t="s">
        <v>51</v>
      </c>
    </row>
    <row r="934" spans="1:10" ht="78.75" customHeight="1">
      <c r="A934" s="18" t="s">
        <v>3885</v>
      </c>
      <c r="B934" s="18" t="s">
        <v>563</v>
      </c>
      <c r="C934" s="19" t="s">
        <v>27</v>
      </c>
      <c r="D934" s="19" t="s">
        <v>3886</v>
      </c>
      <c r="E934" s="18" t="s">
        <v>42</v>
      </c>
      <c r="F934" s="18" t="s">
        <v>37</v>
      </c>
      <c r="G934" s="19" t="s">
        <v>920</v>
      </c>
      <c r="H934" s="19" t="s">
        <v>1367</v>
      </c>
      <c r="I934" s="19" t="s">
        <v>1288</v>
      </c>
      <c r="J934" s="18" t="s">
        <v>51</v>
      </c>
    </row>
    <row r="935" spans="1:10" ht="78.75" customHeight="1">
      <c r="A935" s="21" t="s">
        <v>3887</v>
      </c>
      <c r="B935" s="21" t="s">
        <v>567</v>
      </c>
      <c r="C935" s="22" t="s">
        <v>27</v>
      </c>
      <c r="D935" s="22" t="s">
        <v>3888</v>
      </c>
      <c r="E935" s="18" t="s">
        <v>42</v>
      </c>
      <c r="F935" s="21" t="s">
        <v>35</v>
      </c>
      <c r="G935" s="22" t="s">
        <v>920</v>
      </c>
      <c r="H935" s="22" t="s">
        <v>3889</v>
      </c>
      <c r="I935" s="22" t="s">
        <v>3890</v>
      </c>
      <c r="J935" s="18" t="s">
        <v>51</v>
      </c>
    </row>
    <row r="936" spans="1:10" ht="78.75" customHeight="1">
      <c r="A936" s="18" t="s">
        <v>3891</v>
      </c>
      <c r="B936" s="18" t="s">
        <v>567</v>
      </c>
      <c r="C936" s="19" t="s">
        <v>27</v>
      </c>
      <c r="D936" s="19" t="s">
        <v>3892</v>
      </c>
      <c r="E936" s="18" t="s">
        <v>42</v>
      </c>
      <c r="F936" s="18" t="s">
        <v>35</v>
      </c>
      <c r="G936" s="19" t="s">
        <v>920</v>
      </c>
      <c r="H936" s="19" t="s">
        <v>3893</v>
      </c>
      <c r="I936" s="19" t="s">
        <v>3894</v>
      </c>
      <c r="J936" s="18" t="s">
        <v>51</v>
      </c>
    </row>
    <row r="937" spans="1:10" ht="78.75" customHeight="1">
      <c r="A937" s="21" t="s">
        <v>3895</v>
      </c>
      <c r="B937" s="21" t="s">
        <v>567</v>
      </c>
      <c r="C937" s="22" t="s">
        <v>27</v>
      </c>
      <c r="D937" s="22" t="s">
        <v>3896</v>
      </c>
      <c r="E937" s="18" t="s">
        <v>42</v>
      </c>
      <c r="F937" s="21" t="s">
        <v>35</v>
      </c>
      <c r="G937" s="22" t="s">
        <v>920</v>
      </c>
      <c r="H937" s="22" t="s">
        <v>2750</v>
      </c>
      <c r="I937" s="22" t="s">
        <v>2751</v>
      </c>
      <c r="J937" s="18" t="s">
        <v>51</v>
      </c>
    </row>
    <row r="938" spans="1:10" ht="48.75" customHeight="1">
      <c r="A938" s="18" t="s">
        <v>3897</v>
      </c>
      <c r="B938" s="18" t="s">
        <v>567</v>
      </c>
      <c r="C938" s="19" t="s">
        <v>27</v>
      </c>
      <c r="D938" s="19" t="s">
        <v>3898</v>
      </c>
      <c r="E938" s="18" t="s">
        <v>46</v>
      </c>
      <c r="F938" s="18" t="s">
        <v>35</v>
      </c>
      <c r="G938" s="19" t="s">
        <v>823</v>
      </c>
      <c r="H938" s="19" t="s">
        <v>3899</v>
      </c>
      <c r="I938" s="19" t="s">
        <v>958</v>
      </c>
      <c r="J938" s="18" t="s">
        <v>51</v>
      </c>
    </row>
    <row r="939" spans="1:10" ht="48.75" customHeight="1">
      <c r="A939" s="21" t="s">
        <v>3900</v>
      </c>
      <c r="B939" s="21" t="s">
        <v>567</v>
      </c>
      <c r="C939" s="22" t="s">
        <v>27</v>
      </c>
      <c r="D939" s="22" t="s">
        <v>3901</v>
      </c>
      <c r="E939" s="18" t="s">
        <v>46</v>
      </c>
      <c r="F939" s="21" t="s">
        <v>35</v>
      </c>
      <c r="G939" s="22" t="s">
        <v>961</v>
      </c>
      <c r="H939" s="22" t="s">
        <v>3902</v>
      </c>
      <c r="I939" s="22" t="s">
        <v>958</v>
      </c>
      <c r="J939" s="18" t="s">
        <v>51</v>
      </c>
    </row>
    <row r="940" spans="1:10" ht="48.75" customHeight="1">
      <c r="A940" s="18" t="s">
        <v>3903</v>
      </c>
      <c r="B940" s="18" t="s">
        <v>567</v>
      </c>
      <c r="C940" s="19" t="s">
        <v>27</v>
      </c>
      <c r="D940" s="19" t="s">
        <v>3904</v>
      </c>
      <c r="E940" s="18" t="s">
        <v>46</v>
      </c>
      <c r="F940" s="18" t="s">
        <v>35</v>
      </c>
      <c r="G940" s="19" t="s">
        <v>828</v>
      </c>
      <c r="H940" s="19" t="s">
        <v>3905</v>
      </c>
      <c r="I940" s="19" t="s">
        <v>958</v>
      </c>
      <c r="J940" s="18" t="s">
        <v>51</v>
      </c>
    </row>
    <row r="941" spans="1:10" ht="78.75" customHeight="1">
      <c r="A941" s="21" t="s">
        <v>3906</v>
      </c>
      <c r="B941" s="21" t="s">
        <v>571</v>
      </c>
      <c r="C941" s="22" t="s">
        <v>27</v>
      </c>
      <c r="D941" s="22" t="s">
        <v>3907</v>
      </c>
      <c r="E941" s="18" t="s">
        <v>42</v>
      </c>
      <c r="F941" s="21" t="s">
        <v>35</v>
      </c>
      <c r="G941" s="22" t="s">
        <v>920</v>
      </c>
      <c r="H941" s="22" t="s">
        <v>3908</v>
      </c>
      <c r="I941" s="22" t="s">
        <v>3909</v>
      </c>
      <c r="J941" s="18" t="s">
        <v>51</v>
      </c>
    </row>
    <row r="942" spans="1:10" ht="78.75" customHeight="1">
      <c r="A942" s="18" t="s">
        <v>3910</v>
      </c>
      <c r="B942" s="18" t="s">
        <v>571</v>
      </c>
      <c r="C942" s="19" t="s">
        <v>27</v>
      </c>
      <c r="D942" s="19" t="s">
        <v>3911</v>
      </c>
      <c r="E942" s="18" t="s">
        <v>42</v>
      </c>
      <c r="F942" s="18" t="s">
        <v>35</v>
      </c>
      <c r="G942" s="19" t="s">
        <v>920</v>
      </c>
      <c r="H942" s="19" t="s">
        <v>3912</v>
      </c>
      <c r="I942" s="19" t="s">
        <v>3913</v>
      </c>
      <c r="J942" s="18" t="s">
        <v>51</v>
      </c>
    </row>
    <row r="943" spans="1:10" ht="63.75" customHeight="1">
      <c r="A943" s="21" t="s">
        <v>3914</v>
      </c>
      <c r="B943" s="21" t="s">
        <v>571</v>
      </c>
      <c r="C943" s="22" t="s">
        <v>27</v>
      </c>
      <c r="D943" s="22" t="s">
        <v>3915</v>
      </c>
      <c r="E943" s="18" t="s">
        <v>42</v>
      </c>
      <c r="F943" s="21" t="s">
        <v>35</v>
      </c>
      <c r="G943" s="22" t="s">
        <v>920</v>
      </c>
      <c r="H943" s="22" t="s">
        <v>3433</v>
      </c>
      <c r="I943" s="22" t="s">
        <v>3434</v>
      </c>
      <c r="J943" s="18" t="s">
        <v>51</v>
      </c>
    </row>
    <row r="944" spans="1:10" ht="63.75" customHeight="1">
      <c r="A944" s="18" t="s">
        <v>3916</v>
      </c>
      <c r="B944" s="18" t="s">
        <v>571</v>
      </c>
      <c r="C944" s="19" t="s">
        <v>27</v>
      </c>
      <c r="D944" s="19" t="s">
        <v>3917</v>
      </c>
      <c r="E944" s="18" t="s">
        <v>42</v>
      </c>
      <c r="F944" s="18" t="s">
        <v>35</v>
      </c>
      <c r="G944" s="19" t="s">
        <v>920</v>
      </c>
      <c r="H944" s="19" t="s">
        <v>1672</v>
      </c>
      <c r="I944" s="19" t="s">
        <v>1673</v>
      </c>
      <c r="J944" s="18" t="s">
        <v>51</v>
      </c>
    </row>
    <row r="945" spans="1:10" ht="78.75" customHeight="1">
      <c r="A945" s="21" t="s">
        <v>3918</v>
      </c>
      <c r="B945" s="21" t="s">
        <v>571</v>
      </c>
      <c r="C945" s="22" t="s">
        <v>27</v>
      </c>
      <c r="D945" s="22" t="s">
        <v>3919</v>
      </c>
      <c r="E945" s="18" t="s">
        <v>42</v>
      </c>
      <c r="F945" s="21" t="s">
        <v>35</v>
      </c>
      <c r="G945" s="22" t="s">
        <v>920</v>
      </c>
      <c r="H945" s="22" t="s">
        <v>3920</v>
      </c>
      <c r="I945" s="22" t="s">
        <v>3921</v>
      </c>
      <c r="J945" s="18" t="s">
        <v>51</v>
      </c>
    </row>
    <row r="946" spans="1:10" ht="93.75" customHeight="1">
      <c r="A946" s="18" t="s">
        <v>3922</v>
      </c>
      <c r="B946" s="18" t="s">
        <v>571</v>
      </c>
      <c r="C946" s="19" t="s">
        <v>27</v>
      </c>
      <c r="D946" s="19" t="s">
        <v>3923</v>
      </c>
      <c r="E946" s="18" t="s">
        <v>42</v>
      </c>
      <c r="F946" s="18" t="s">
        <v>35</v>
      </c>
      <c r="G946" s="19" t="s">
        <v>920</v>
      </c>
      <c r="H946" s="19" t="s">
        <v>3924</v>
      </c>
      <c r="I946" s="19" t="s">
        <v>808</v>
      </c>
      <c r="J946" s="18" t="s">
        <v>51</v>
      </c>
    </row>
    <row r="947" spans="1:10" ht="63.75" customHeight="1">
      <c r="A947" s="21" t="s">
        <v>3925</v>
      </c>
      <c r="B947" s="21" t="s">
        <v>571</v>
      </c>
      <c r="C947" s="22" t="s">
        <v>27</v>
      </c>
      <c r="D947" s="22" t="s">
        <v>3926</v>
      </c>
      <c r="E947" s="18" t="s">
        <v>46</v>
      </c>
      <c r="F947" s="21" t="s">
        <v>35</v>
      </c>
      <c r="G947" s="22" t="s">
        <v>920</v>
      </c>
      <c r="H947" s="22" t="s">
        <v>3927</v>
      </c>
      <c r="I947" s="22" t="s">
        <v>812</v>
      </c>
      <c r="J947" s="18" t="s">
        <v>51</v>
      </c>
    </row>
    <row r="948" spans="1:10" ht="93.75" customHeight="1">
      <c r="A948" s="18" t="s">
        <v>3928</v>
      </c>
      <c r="B948" s="18" t="s">
        <v>571</v>
      </c>
      <c r="C948" s="19" t="s">
        <v>27</v>
      </c>
      <c r="D948" s="19" t="s">
        <v>3929</v>
      </c>
      <c r="E948" s="18" t="s">
        <v>44</v>
      </c>
      <c r="F948" s="18" t="s">
        <v>35</v>
      </c>
      <c r="G948" s="19" t="s">
        <v>920</v>
      </c>
      <c r="H948" s="19" t="s">
        <v>3930</v>
      </c>
      <c r="I948" s="19" t="s">
        <v>816</v>
      </c>
      <c r="J948" s="18" t="s">
        <v>51</v>
      </c>
    </row>
    <row r="949" spans="1:10" ht="93.75" customHeight="1">
      <c r="A949" s="21" t="s">
        <v>3931</v>
      </c>
      <c r="B949" s="21" t="s">
        <v>571</v>
      </c>
      <c r="C949" s="22" t="s">
        <v>27</v>
      </c>
      <c r="D949" s="22" t="s">
        <v>3932</v>
      </c>
      <c r="E949" s="18" t="s">
        <v>44</v>
      </c>
      <c r="F949" s="21" t="s">
        <v>35</v>
      </c>
      <c r="G949" s="22" t="s">
        <v>920</v>
      </c>
      <c r="H949" s="22" t="s">
        <v>3933</v>
      </c>
      <c r="I949" s="22" t="s">
        <v>820</v>
      </c>
      <c r="J949" s="18" t="s">
        <v>51</v>
      </c>
    </row>
    <row r="950" spans="1:10" ht="48.75" customHeight="1">
      <c r="A950" s="18" t="s">
        <v>3934</v>
      </c>
      <c r="B950" s="18" t="s">
        <v>571</v>
      </c>
      <c r="C950" s="19" t="s">
        <v>27</v>
      </c>
      <c r="D950" s="19" t="s">
        <v>3935</v>
      </c>
      <c r="E950" s="18" t="s">
        <v>46</v>
      </c>
      <c r="F950" s="18" t="s">
        <v>35</v>
      </c>
      <c r="G950" s="19" t="s">
        <v>823</v>
      </c>
      <c r="H950" s="19" t="s">
        <v>3936</v>
      </c>
      <c r="I950" s="19" t="s">
        <v>958</v>
      </c>
      <c r="J950" s="18" t="s">
        <v>51</v>
      </c>
    </row>
    <row r="951" spans="1:10" ht="48.75" customHeight="1">
      <c r="A951" s="21" t="s">
        <v>3937</v>
      </c>
      <c r="B951" s="21" t="s">
        <v>571</v>
      </c>
      <c r="C951" s="22" t="s">
        <v>27</v>
      </c>
      <c r="D951" s="22" t="s">
        <v>3938</v>
      </c>
      <c r="E951" s="18" t="s">
        <v>46</v>
      </c>
      <c r="F951" s="21" t="s">
        <v>35</v>
      </c>
      <c r="G951" s="22" t="s">
        <v>961</v>
      </c>
      <c r="H951" s="22" t="s">
        <v>3939</v>
      </c>
      <c r="I951" s="22" t="s">
        <v>958</v>
      </c>
      <c r="J951" s="18" t="s">
        <v>51</v>
      </c>
    </row>
    <row r="952" spans="1:10" ht="48.75" customHeight="1">
      <c r="A952" s="18" t="s">
        <v>3940</v>
      </c>
      <c r="B952" s="18" t="s">
        <v>571</v>
      </c>
      <c r="C952" s="19" t="s">
        <v>27</v>
      </c>
      <c r="D952" s="19" t="s">
        <v>3941</v>
      </c>
      <c r="E952" s="18" t="s">
        <v>46</v>
      </c>
      <c r="F952" s="18" t="s">
        <v>35</v>
      </c>
      <c r="G952" s="19" t="s">
        <v>828</v>
      </c>
      <c r="H952" s="19" t="s">
        <v>3942</v>
      </c>
      <c r="I952" s="19" t="s">
        <v>958</v>
      </c>
      <c r="J952" s="18" t="s">
        <v>51</v>
      </c>
    </row>
    <row r="953" spans="1:10" ht="93.75" customHeight="1">
      <c r="A953" s="21" t="s">
        <v>3943</v>
      </c>
      <c r="B953" s="21" t="s">
        <v>576</v>
      </c>
      <c r="C953" s="22" t="s">
        <v>3944</v>
      </c>
      <c r="D953" s="22" t="s">
        <v>3945</v>
      </c>
      <c r="E953" s="18" t="s">
        <v>42</v>
      </c>
      <c r="F953" s="21" t="s">
        <v>33</v>
      </c>
      <c r="G953" s="22" t="s">
        <v>2830</v>
      </c>
      <c r="H953" s="22" t="s">
        <v>3946</v>
      </c>
      <c r="I953" s="22" t="s">
        <v>3947</v>
      </c>
      <c r="J953" s="18" t="s">
        <v>51</v>
      </c>
    </row>
    <row r="954" spans="1:10" ht="93.75" customHeight="1">
      <c r="A954" s="18" t="s">
        <v>3948</v>
      </c>
      <c r="B954" s="18" t="s">
        <v>576</v>
      </c>
      <c r="C954" s="19" t="s">
        <v>3944</v>
      </c>
      <c r="D954" s="19" t="s">
        <v>3949</v>
      </c>
      <c r="E954" s="18" t="s">
        <v>42</v>
      </c>
      <c r="F954" s="18" t="s">
        <v>33</v>
      </c>
      <c r="G954" s="19" t="s">
        <v>2830</v>
      </c>
      <c r="H954" s="19" t="s">
        <v>3950</v>
      </c>
      <c r="I954" s="19" t="s">
        <v>3951</v>
      </c>
      <c r="J954" s="18" t="s">
        <v>51</v>
      </c>
    </row>
    <row r="955" spans="1:10" ht="93.75" customHeight="1">
      <c r="A955" s="21" t="s">
        <v>3952</v>
      </c>
      <c r="B955" s="21" t="s">
        <v>576</v>
      </c>
      <c r="C955" s="22" t="s">
        <v>3944</v>
      </c>
      <c r="D955" s="22" t="s">
        <v>3953</v>
      </c>
      <c r="E955" s="18" t="s">
        <v>42</v>
      </c>
      <c r="F955" s="21" t="s">
        <v>33</v>
      </c>
      <c r="G955" s="22" t="s">
        <v>2830</v>
      </c>
      <c r="H955" s="22" t="s">
        <v>3954</v>
      </c>
      <c r="I955" s="22" t="s">
        <v>3955</v>
      </c>
      <c r="J955" s="18" t="s">
        <v>51</v>
      </c>
    </row>
    <row r="956" spans="1:10" ht="93.75" customHeight="1">
      <c r="A956" s="18" t="s">
        <v>3956</v>
      </c>
      <c r="B956" s="18" t="s">
        <v>576</v>
      </c>
      <c r="C956" s="19" t="s">
        <v>3944</v>
      </c>
      <c r="D956" s="19" t="s">
        <v>3957</v>
      </c>
      <c r="E956" s="18" t="s">
        <v>42</v>
      </c>
      <c r="F956" s="18" t="s">
        <v>33</v>
      </c>
      <c r="G956" s="19" t="s">
        <v>2830</v>
      </c>
      <c r="H956" s="19" t="s">
        <v>3958</v>
      </c>
      <c r="I956" s="19" t="s">
        <v>3959</v>
      </c>
      <c r="J956" s="18" t="s">
        <v>51</v>
      </c>
    </row>
    <row r="957" spans="1:10" ht="93.75" customHeight="1">
      <c r="A957" s="21" t="s">
        <v>3960</v>
      </c>
      <c r="B957" s="21" t="s">
        <v>576</v>
      </c>
      <c r="C957" s="22" t="s">
        <v>3944</v>
      </c>
      <c r="D957" s="22" t="s">
        <v>3961</v>
      </c>
      <c r="E957" s="18" t="s">
        <v>44</v>
      </c>
      <c r="F957" s="21" t="s">
        <v>33</v>
      </c>
      <c r="G957" s="22" t="s">
        <v>2830</v>
      </c>
      <c r="H957" s="22" t="s">
        <v>3962</v>
      </c>
      <c r="I957" s="22" t="s">
        <v>3963</v>
      </c>
      <c r="J957" s="18" t="s">
        <v>51</v>
      </c>
    </row>
    <row r="958" spans="1:10" ht="78.75" customHeight="1">
      <c r="A958" s="18" t="s">
        <v>3964</v>
      </c>
      <c r="B958" s="18" t="s">
        <v>576</v>
      </c>
      <c r="C958" s="19" t="s">
        <v>3944</v>
      </c>
      <c r="D958" s="19" t="s">
        <v>3965</v>
      </c>
      <c r="E958" s="18" t="s">
        <v>42</v>
      </c>
      <c r="F958" s="18" t="s">
        <v>33</v>
      </c>
      <c r="G958" s="19" t="s">
        <v>2830</v>
      </c>
      <c r="H958" s="19" t="s">
        <v>3966</v>
      </c>
      <c r="I958" s="19" t="s">
        <v>808</v>
      </c>
      <c r="J958" s="18" t="s">
        <v>51</v>
      </c>
    </row>
    <row r="959" spans="1:10" ht="48.75" customHeight="1">
      <c r="A959" s="21" t="s">
        <v>3967</v>
      </c>
      <c r="B959" s="21" t="s">
        <v>576</v>
      </c>
      <c r="C959" s="22" t="s">
        <v>3944</v>
      </c>
      <c r="D959" s="22" t="s">
        <v>3968</v>
      </c>
      <c r="E959" s="18" t="s">
        <v>46</v>
      </c>
      <c r="F959" s="21" t="s">
        <v>33</v>
      </c>
      <c r="G959" s="22" t="s">
        <v>2830</v>
      </c>
      <c r="H959" s="22" t="s">
        <v>3969</v>
      </c>
      <c r="I959" s="22" t="s">
        <v>812</v>
      </c>
      <c r="J959" s="18" t="s">
        <v>51</v>
      </c>
    </row>
    <row r="960" spans="1:10" ht="93.75" customHeight="1">
      <c r="A960" s="18" t="s">
        <v>3970</v>
      </c>
      <c r="B960" s="18" t="s">
        <v>576</v>
      </c>
      <c r="C960" s="19" t="s">
        <v>3944</v>
      </c>
      <c r="D960" s="19" t="s">
        <v>3971</v>
      </c>
      <c r="E960" s="18" t="s">
        <v>44</v>
      </c>
      <c r="F960" s="18" t="s">
        <v>33</v>
      </c>
      <c r="G960" s="19" t="s">
        <v>2830</v>
      </c>
      <c r="H960" s="19" t="s">
        <v>3972</v>
      </c>
      <c r="I960" s="19" t="s">
        <v>816</v>
      </c>
      <c r="J960" s="18" t="s">
        <v>51</v>
      </c>
    </row>
    <row r="961" spans="1:10" ht="78.75" customHeight="1">
      <c r="A961" s="21" t="s">
        <v>3973</v>
      </c>
      <c r="B961" s="21" t="s">
        <v>576</v>
      </c>
      <c r="C961" s="22" t="s">
        <v>3944</v>
      </c>
      <c r="D961" s="22" t="s">
        <v>3974</v>
      </c>
      <c r="E961" s="18" t="s">
        <v>44</v>
      </c>
      <c r="F961" s="21" t="s">
        <v>33</v>
      </c>
      <c r="G961" s="22" t="s">
        <v>2830</v>
      </c>
      <c r="H961" s="22" t="s">
        <v>3975</v>
      </c>
      <c r="I961" s="22" t="s">
        <v>820</v>
      </c>
      <c r="J961" s="18" t="s">
        <v>51</v>
      </c>
    </row>
    <row r="962" spans="1:10" ht="63.75" customHeight="1">
      <c r="A962" s="18" t="s">
        <v>3976</v>
      </c>
      <c r="B962" s="18" t="s">
        <v>576</v>
      </c>
      <c r="C962" s="19" t="s">
        <v>3944</v>
      </c>
      <c r="D962" s="19" t="s">
        <v>3977</v>
      </c>
      <c r="E962" s="18" t="s">
        <v>46</v>
      </c>
      <c r="F962" s="18" t="s">
        <v>33</v>
      </c>
      <c r="G962" s="19" t="s">
        <v>823</v>
      </c>
      <c r="H962" s="19" t="s">
        <v>3978</v>
      </c>
      <c r="I962" s="19" t="s">
        <v>2891</v>
      </c>
      <c r="J962" s="18" t="s">
        <v>51</v>
      </c>
    </row>
    <row r="963" spans="1:10" ht="63.75" customHeight="1">
      <c r="A963" s="21" t="s">
        <v>3979</v>
      </c>
      <c r="B963" s="21" t="s">
        <v>576</v>
      </c>
      <c r="C963" s="22" t="s">
        <v>3944</v>
      </c>
      <c r="D963" s="22" t="s">
        <v>3980</v>
      </c>
      <c r="E963" s="18" t="s">
        <v>46</v>
      </c>
      <c r="F963" s="21" t="s">
        <v>33</v>
      </c>
      <c r="G963" s="22" t="s">
        <v>961</v>
      </c>
      <c r="H963" s="22" t="s">
        <v>3981</v>
      </c>
      <c r="I963" s="22" t="s">
        <v>2891</v>
      </c>
      <c r="J963" s="18" t="s">
        <v>51</v>
      </c>
    </row>
    <row r="964" spans="1:10" ht="63.75" customHeight="1">
      <c r="A964" s="18" t="s">
        <v>3982</v>
      </c>
      <c r="B964" s="18" t="s">
        <v>576</v>
      </c>
      <c r="C964" s="19" t="s">
        <v>3944</v>
      </c>
      <c r="D964" s="19" t="s">
        <v>3983</v>
      </c>
      <c r="E964" s="18" t="s">
        <v>46</v>
      </c>
      <c r="F964" s="18" t="s">
        <v>33</v>
      </c>
      <c r="G964" s="19" t="s">
        <v>828</v>
      </c>
      <c r="H964" s="19" t="s">
        <v>3984</v>
      </c>
      <c r="I964" s="19" t="s">
        <v>2891</v>
      </c>
      <c r="J964" s="18" t="s">
        <v>51</v>
      </c>
    </row>
    <row r="965" spans="1:10" ht="78.75" customHeight="1">
      <c r="A965" s="21" t="s">
        <v>3985</v>
      </c>
      <c r="B965" s="21" t="s">
        <v>583</v>
      </c>
      <c r="C965" s="22" t="s">
        <v>3944</v>
      </c>
      <c r="D965" s="22" t="s">
        <v>3986</v>
      </c>
      <c r="E965" s="18" t="s">
        <v>42</v>
      </c>
      <c r="F965" s="21" t="s">
        <v>33</v>
      </c>
      <c r="G965" s="22" t="s">
        <v>920</v>
      </c>
      <c r="H965" s="22" t="s">
        <v>3987</v>
      </c>
      <c r="I965" s="22" t="s">
        <v>3988</v>
      </c>
      <c r="J965" s="18" t="s">
        <v>51</v>
      </c>
    </row>
    <row r="966" spans="1:10" ht="78.75" customHeight="1">
      <c r="A966" s="18" t="s">
        <v>3989</v>
      </c>
      <c r="B966" s="18" t="s">
        <v>583</v>
      </c>
      <c r="C966" s="19" t="s">
        <v>3944</v>
      </c>
      <c r="D966" s="19" t="s">
        <v>3990</v>
      </c>
      <c r="E966" s="18" t="s">
        <v>42</v>
      </c>
      <c r="F966" s="18" t="s">
        <v>33</v>
      </c>
      <c r="G966" s="19" t="s">
        <v>920</v>
      </c>
      <c r="H966" s="19" t="s">
        <v>3991</v>
      </c>
      <c r="I966" s="19" t="s">
        <v>3992</v>
      </c>
      <c r="J966" s="18" t="s">
        <v>51</v>
      </c>
    </row>
    <row r="967" spans="1:10" ht="78.75" customHeight="1">
      <c r="A967" s="21" t="s">
        <v>3993</v>
      </c>
      <c r="B967" s="21" t="s">
        <v>583</v>
      </c>
      <c r="C967" s="22" t="s">
        <v>3944</v>
      </c>
      <c r="D967" s="22" t="s">
        <v>3994</v>
      </c>
      <c r="E967" s="18" t="s">
        <v>42</v>
      </c>
      <c r="F967" s="21" t="s">
        <v>33</v>
      </c>
      <c r="G967" s="22" t="s">
        <v>920</v>
      </c>
      <c r="H967" s="22" t="s">
        <v>3995</v>
      </c>
      <c r="I967" s="22" t="s">
        <v>3996</v>
      </c>
      <c r="J967" s="18" t="s">
        <v>51</v>
      </c>
    </row>
    <row r="968" spans="1:10" ht="48.75" customHeight="1">
      <c r="A968" s="18" t="s">
        <v>3997</v>
      </c>
      <c r="B968" s="18" t="s">
        <v>583</v>
      </c>
      <c r="C968" s="19" t="s">
        <v>3944</v>
      </c>
      <c r="D968" s="19" t="s">
        <v>3998</v>
      </c>
      <c r="E968" s="18" t="s">
        <v>46</v>
      </c>
      <c r="F968" s="18" t="s">
        <v>33</v>
      </c>
      <c r="G968" s="19" t="s">
        <v>823</v>
      </c>
      <c r="H968" s="19" t="s">
        <v>3999</v>
      </c>
      <c r="I968" s="19" t="s">
        <v>958</v>
      </c>
      <c r="J968" s="18" t="s">
        <v>51</v>
      </c>
    </row>
    <row r="969" spans="1:10" ht="48.75" customHeight="1">
      <c r="A969" s="21" t="s">
        <v>4000</v>
      </c>
      <c r="B969" s="21" t="s">
        <v>583</v>
      </c>
      <c r="C969" s="22" t="s">
        <v>3944</v>
      </c>
      <c r="D969" s="22" t="s">
        <v>4001</v>
      </c>
      <c r="E969" s="18" t="s">
        <v>46</v>
      </c>
      <c r="F969" s="21" t="s">
        <v>33</v>
      </c>
      <c r="G969" s="22" t="s">
        <v>961</v>
      </c>
      <c r="H969" s="22" t="s">
        <v>4002</v>
      </c>
      <c r="I969" s="22" t="s">
        <v>958</v>
      </c>
      <c r="J969" s="18" t="s">
        <v>51</v>
      </c>
    </row>
    <row r="970" spans="1:10" ht="48.75" customHeight="1">
      <c r="A970" s="18" t="s">
        <v>4003</v>
      </c>
      <c r="B970" s="18" t="s">
        <v>583</v>
      </c>
      <c r="C970" s="19" t="s">
        <v>3944</v>
      </c>
      <c r="D970" s="19" t="s">
        <v>4004</v>
      </c>
      <c r="E970" s="18" t="s">
        <v>46</v>
      </c>
      <c r="F970" s="18" t="s">
        <v>33</v>
      </c>
      <c r="G970" s="19" t="s">
        <v>828</v>
      </c>
      <c r="H970" s="19" t="s">
        <v>4005</v>
      </c>
      <c r="I970" s="19" t="s">
        <v>958</v>
      </c>
      <c r="J970" s="18" t="s">
        <v>51</v>
      </c>
    </row>
    <row r="971" spans="1:10" ht="78.75" customHeight="1">
      <c r="A971" s="21" t="s">
        <v>4006</v>
      </c>
      <c r="B971" s="21" t="s">
        <v>587</v>
      </c>
      <c r="C971" s="22" t="s">
        <v>3944</v>
      </c>
      <c r="D971" s="22" t="s">
        <v>4007</v>
      </c>
      <c r="E971" s="18" t="s">
        <v>42</v>
      </c>
      <c r="F971" s="21" t="s">
        <v>35</v>
      </c>
      <c r="G971" s="22" t="s">
        <v>920</v>
      </c>
      <c r="H971" s="22" t="s">
        <v>4008</v>
      </c>
      <c r="I971" s="22" t="s">
        <v>4009</v>
      </c>
      <c r="J971" s="18" t="s">
        <v>51</v>
      </c>
    </row>
    <row r="972" spans="1:10" ht="78.75" customHeight="1">
      <c r="A972" s="18" t="s">
        <v>4010</v>
      </c>
      <c r="B972" s="18" t="s">
        <v>587</v>
      </c>
      <c r="C972" s="19" t="s">
        <v>3944</v>
      </c>
      <c r="D972" s="19" t="s">
        <v>4011</v>
      </c>
      <c r="E972" s="18" t="s">
        <v>42</v>
      </c>
      <c r="F972" s="18" t="s">
        <v>35</v>
      </c>
      <c r="G972" s="19" t="s">
        <v>920</v>
      </c>
      <c r="H972" s="19" t="s">
        <v>4012</v>
      </c>
      <c r="I972" s="19" t="s">
        <v>4013</v>
      </c>
      <c r="J972" s="18" t="s">
        <v>51</v>
      </c>
    </row>
    <row r="973" spans="1:10" ht="78.75" customHeight="1">
      <c r="A973" s="21" t="s">
        <v>4014</v>
      </c>
      <c r="B973" s="21" t="s">
        <v>587</v>
      </c>
      <c r="C973" s="22" t="s">
        <v>3944</v>
      </c>
      <c r="D973" s="22" t="s">
        <v>4015</v>
      </c>
      <c r="E973" s="18" t="s">
        <v>42</v>
      </c>
      <c r="F973" s="21" t="s">
        <v>35</v>
      </c>
      <c r="G973" s="22" t="s">
        <v>920</v>
      </c>
      <c r="H973" s="22" t="s">
        <v>4016</v>
      </c>
      <c r="I973" s="22" t="s">
        <v>4017</v>
      </c>
      <c r="J973" s="18" t="s">
        <v>51</v>
      </c>
    </row>
    <row r="974" spans="1:10" ht="48.75" customHeight="1">
      <c r="A974" s="18" t="s">
        <v>4018</v>
      </c>
      <c r="B974" s="18" t="s">
        <v>587</v>
      </c>
      <c r="C974" s="19" t="s">
        <v>3944</v>
      </c>
      <c r="D974" s="19" t="s">
        <v>4019</v>
      </c>
      <c r="E974" s="18" t="s">
        <v>46</v>
      </c>
      <c r="F974" s="18" t="s">
        <v>35</v>
      </c>
      <c r="G974" s="19" t="s">
        <v>823</v>
      </c>
      <c r="H974" s="19" t="s">
        <v>4020</v>
      </c>
      <c r="I974" s="19" t="s">
        <v>958</v>
      </c>
      <c r="J974" s="18" t="s">
        <v>51</v>
      </c>
    </row>
    <row r="975" spans="1:10" ht="48.75" customHeight="1">
      <c r="A975" s="21" t="s">
        <v>4021</v>
      </c>
      <c r="B975" s="21" t="s">
        <v>587</v>
      </c>
      <c r="C975" s="22" t="s">
        <v>3944</v>
      </c>
      <c r="D975" s="22" t="s">
        <v>4022</v>
      </c>
      <c r="E975" s="18" t="s">
        <v>46</v>
      </c>
      <c r="F975" s="21" t="s">
        <v>35</v>
      </c>
      <c r="G975" s="22" t="s">
        <v>961</v>
      </c>
      <c r="H975" s="22" t="s">
        <v>4023</v>
      </c>
      <c r="I975" s="22" t="s">
        <v>958</v>
      </c>
      <c r="J975" s="18" t="s">
        <v>51</v>
      </c>
    </row>
    <row r="976" spans="1:10" ht="48.75" customHeight="1">
      <c r="A976" s="18" t="s">
        <v>4024</v>
      </c>
      <c r="B976" s="18" t="s">
        <v>587</v>
      </c>
      <c r="C976" s="19" t="s">
        <v>3944</v>
      </c>
      <c r="D976" s="19" t="s">
        <v>4025</v>
      </c>
      <c r="E976" s="18" t="s">
        <v>46</v>
      </c>
      <c r="F976" s="18" t="s">
        <v>35</v>
      </c>
      <c r="G976" s="19" t="s">
        <v>828</v>
      </c>
      <c r="H976" s="19" t="s">
        <v>4026</v>
      </c>
      <c r="I976" s="19" t="s">
        <v>958</v>
      </c>
      <c r="J976" s="18" t="s">
        <v>51</v>
      </c>
    </row>
    <row r="977" spans="1:10" ht="78.75" customHeight="1">
      <c r="A977" s="21" t="s">
        <v>4027</v>
      </c>
      <c r="B977" s="21" t="s">
        <v>591</v>
      </c>
      <c r="C977" s="22" t="s">
        <v>3944</v>
      </c>
      <c r="D977" s="22" t="s">
        <v>4028</v>
      </c>
      <c r="E977" s="18" t="s">
        <v>42</v>
      </c>
      <c r="F977" s="21" t="s">
        <v>33</v>
      </c>
      <c r="G977" s="22" t="s">
        <v>920</v>
      </c>
      <c r="H977" s="22" t="s">
        <v>4029</v>
      </c>
      <c r="I977" s="22" t="s">
        <v>4030</v>
      </c>
      <c r="J977" s="18" t="s">
        <v>51</v>
      </c>
    </row>
    <row r="978" spans="1:10" ht="78.75" customHeight="1">
      <c r="A978" s="18" t="s">
        <v>4031</v>
      </c>
      <c r="B978" s="18" t="s">
        <v>591</v>
      </c>
      <c r="C978" s="19" t="s">
        <v>3944</v>
      </c>
      <c r="D978" s="19" t="s">
        <v>4032</v>
      </c>
      <c r="E978" s="18" t="s">
        <v>42</v>
      </c>
      <c r="F978" s="18" t="s">
        <v>33</v>
      </c>
      <c r="G978" s="19" t="s">
        <v>920</v>
      </c>
      <c r="H978" s="19" t="s">
        <v>4033</v>
      </c>
      <c r="I978" s="19" t="s">
        <v>4034</v>
      </c>
      <c r="J978" s="18" t="s">
        <v>51</v>
      </c>
    </row>
    <row r="979" spans="1:10" ht="78.75" customHeight="1">
      <c r="A979" s="21" t="s">
        <v>4035</v>
      </c>
      <c r="B979" s="21" t="s">
        <v>591</v>
      </c>
      <c r="C979" s="22" t="s">
        <v>3944</v>
      </c>
      <c r="D979" s="22" t="s">
        <v>4036</v>
      </c>
      <c r="E979" s="18" t="s">
        <v>42</v>
      </c>
      <c r="F979" s="21" t="s">
        <v>33</v>
      </c>
      <c r="G979" s="22" t="s">
        <v>920</v>
      </c>
      <c r="H979" s="22" t="s">
        <v>4037</v>
      </c>
      <c r="I979" s="22" t="s">
        <v>4038</v>
      </c>
      <c r="J979" s="18" t="s">
        <v>51</v>
      </c>
    </row>
    <row r="980" spans="1:10" ht="48.75" customHeight="1">
      <c r="A980" s="18" t="s">
        <v>4039</v>
      </c>
      <c r="B980" s="18" t="s">
        <v>591</v>
      </c>
      <c r="C980" s="19" t="s">
        <v>3944</v>
      </c>
      <c r="D980" s="19" t="s">
        <v>4040</v>
      </c>
      <c r="E980" s="18" t="s">
        <v>46</v>
      </c>
      <c r="F980" s="18" t="s">
        <v>33</v>
      </c>
      <c r="G980" s="19" t="s">
        <v>823</v>
      </c>
      <c r="H980" s="19" t="s">
        <v>4041</v>
      </c>
      <c r="I980" s="19" t="s">
        <v>958</v>
      </c>
      <c r="J980" s="18" t="s">
        <v>51</v>
      </c>
    </row>
    <row r="981" spans="1:10" ht="48.75" customHeight="1">
      <c r="A981" s="21" t="s">
        <v>4042</v>
      </c>
      <c r="B981" s="21" t="s">
        <v>591</v>
      </c>
      <c r="C981" s="22" t="s">
        <v>3944</v>
      </c>
      <c r="D981" s="22" t="s">
        <v>4043</v>
      </c>
      <c r="E981" s="18" t="s">
        <v>46</v>
      </c>
      <c r="F981" s="21" t="s">
        <v>33</v>
      </c>
      <c r="G981" s="22" t="s">
        <v>961</v>
      </c>
      <c r="H981" s="22" t="s">
        <v>4044</v>
      </c>
      <c r="I981" s="22" t="s">
        <v>958</v>
      </c>
      <c r="J981" s="18" t="s">
        <v>51</v>
      </c>
    </row>
    <row r="982" spans="1:10" ht="48.75" customHeight="1">
      <c r="A982" s="18" t="s">
        <v>4045</v>
      </c>
      <c r="B982" s="18" t="s">
        <v>591</v>
      </c>
      <c r="C982" s="19" t="s">
        <v>3944</v>
      </c>
      <c r="D982" s="19" t="s">
        <v>4046</v>
      </c>
      <c r="E982" s="18" t="s">
        <v>46</v>
      </c>
      <c r="F982" s="18" t="s">
        <v>33</v>
      </c>
      <c r="G982" s="19" t="s">
        <v>828</v>
      </c>
      <c r="H982" s="19" t="s">
        <v>4047</v>
      </c>
      <c r="I982" s="19" t="s">
        <v>958</v>
      </c>
      <c r="J982" s="18" t="s">
        <v>51</v>
      </c>
    </row>
    <row r="983" spans="1:10" ht="78.75" customHeight="1">
      <c r="A983" s="21" t="s">
        <v>4048</v>
      </c>
      <c r="B983" s="21" t="s">
        <v>595</v>
      </c>
      <c r="C983" s="22" t="s">
        <v>3944</v>
      </c>
      <c r="D983" s="22" t="s">
        <v>4049</v>
      </c>
      <c r="E983" s="18" t="s">
        <v>42</v>
      </c>
      <c r="F983" s="21" t="s">
        <v>33</v>
      </c>
      <c r="G983" s="22" t="s">
        <v>920</v>
      </c>
      <c r="H983" s="22" t="s">
        <v>4050</v>
      </c>
      <c r="I983" s="22" t="s">
        <v>4051</v>
      </c>
      <c r="J983" s="18" t="s">
        <v>51</v>
      </c>
    </row>
    <row r="984" spans="1:10" ht="63.75" customHeight="1">
      <c r="A984" s="18" t="s">
        <v>4052</v>
      </c>
      <c r="B984" s="18" t="s">
        <v>595</v>
      </c>
      <c r="C984" s="19" t="s">
        <v>3944</v>
      </c>
      <c r="D984" s="19" t="s">
        <v>4053</v>
      </c>
      <c r="E984" s="18" t="s">
        <v>42</v>
      </c>
      <c r="F984" s="18" t="s">
        <v>33</v>
      </c>
      <c r="G984" s="19" t="s">
        <v>920</v>
      </c>
      <c r="H984" s="19" t="s">
        <v>4054</v>
      </c>
      <c r="I984" s="19" t="s">
        <v>4055</v>
      </c>
      <c r="J984" s="18" t="s">
        <v>51</v>
      </c>
    </row>
    <row r="985" spans="1:10" ht="78.75" customHeight="1">
      <c r="A985" s="21" t="s">
        <v>4056</v>
      </c>
      <c r="B985" s="21" t="s">
        <v>595</v>
      </c>
      <c r="C985" s="22" t="s">
        <v>3944</v>
      </c>
      <c r="D985" s="22" t="s">
        <v>4057</v>
      </c>
      <c r="E985" s="18" t="s">
        <v>42</v>
      </c>
      <c r="F985" s="21" t="s">
        <v>33</v>
      </c>
      <c r="G985" s="22" t="s">
        <v>920</v>
      </c>
      <c r="H985" s="22" t="s">
        <v>4058</v>
      </c>
      <c r="I985" s="22" t="s">
        <v>4059</v>
      </c>
      <c r="J985" s="18" t="s">
        <v>51</v>
      </c>
    </row>
    <row r="986" spans="1:10" ht="48.75" customHeight="1">
      <c r="A986" s="18" t="s">
        <v>4060</v>
      </c>
      <c r="B986" s="18" t="s">
        <v>595</v>
      </c>
      <c r="C986" s="19" t="s">
        <v>3944</v>
      </c>
      <c r="D986" s="19" t="s">
        <v>4061</v>
      </c>
      <c r="E986" s="18" t="s">
        <v>46</v>
      </c>
      <c r="F986" s="18" t="s">
        <v>33</v>
      </c>
      <c r="G986" s="19" t="s">
        <v>823</v>
      </c>
      <c r="H986" s="19" t="s">
        <v>4062</v>
      </c>
      <c r="I986" s="19" t="s">
        <v>958</v>
      </c>
      <c r="J986" s="18" t="s">
        <v>51</v>
      </c>
    </row>
    <row r="987" spans="1:10" ht="48.75" customHeight="1">
      <c r="A987" s="21" t="s">
        <v>4063</v>
      </c>
      <c r="B987" s="21" t="s">
        <v>595</v>
      </c>
      <c r="C987" s="22" t="s">
        <v>3944</v>
      </c>
      <c r="D987" s="22" t="s">
        <v>4064</v>
      </c>
      <c r="E987" s="18" t="s">
        <v>46</v>
      </c>
      <c r="F987" s="21" t="s">
        <v>33</v>
      </c>
      <c r="G987" s="22" t="s">
        <v>961</v>
      </c>
      <c r="H987" s="22" t="s">
        <v>4065</v>
      </c>
      <c r="I987" s="22" t="s">
        <v>958</v>
      </c>
      <c r="J987" s="18" t="s">
        <v>51</v>
      </c>
    </row>
    <row r="988" spans="1:10" ht="48.75" customHeight="1">
      <c r="A988" s="18" t="s">
        <v>4066</v>
      </c>
      <c r="B988" s="18" t="s">
        <v>595</v>
      </c>
      <c r="C988" s="19" t="s">
        <v>3944</v>
      </c>
      <c r="D988" s="19" t="s">
        <v>4067</v>
      </c>
      <c r="E988" s="18" t="s">
        <v>46</v>
      </c>
      <c r="F988" s="18" t="s">
        <v>33</v>
      </c>
      <c r="G988" s="19" t="s">
        <v>828</v>
      </c>
      <c r="H988" s="19" t="s">
        <v>4068</v>
      </c>
      <c r="I988" s="19" t="s">
        <v>958</v>
      </c>
      <c r="J988" s="18" t="s">
        <v>51</v>
      </c>
    </row>
    <row r="989" spans="1:10" ht="78.75" customHeight="1">
      <c r="A989" s="21" t="s">
        <v>4069</v>
      </c>
      <c r="B989" s="21" t="s">
        <v>599</v>
      </c>
      <c r="C989" s="22" t="s">
        <v>3944</v>
      </c>
      <c r="D989" s="22" t="s">
        <v>4070</v>
      </c>
      <c r="E989" s="18" t="s">
        <v>42</v>
      </c>
      <c r="F989" s="21" t="s">
        <v>37</v>
      </c>
      <c r="G989" s="22" t="s">
        <v>920</v>
      </c>
      <c r="H989" s="22" t="s">
        <v>4071</v>
      </c>
      <c r="I989" s="22" t="s">
        <v>4072</v>
      </c>
      <c r="J989" s="18" t="s">
        <v>51</v>
      </c>
    </row>
    <row r="990" spans="1:10" ht="78.75" customHeight="1">
      <c r="A990" s="18" t="s">
        <v>4073</v>
      </c>
      <c r="B990" s="18" t="s">
        <v>599</v>
      </c>
      <c r="C990" s="19" t="s">
        <v>3944</v>
      </c>
      <c r="D990" s="19" t="s">
        <v>4074</v>
      </c>
      <c r="E990" s="18" t="s">
        <v>42</v>
      </c>
      <c r="F990" s="18" t="s">
        <v>37</v>
      </c>
      <c r="G990" s="19" t="s">
        <v>920</v>
      </c>
      <c r="H990" s="19" t="s">
        <v>4075</v>
      </c>
      <c r="I990" s="19" t="s">
        <v>4076</v>
      </c>
      <c r="J990" s="18" t="s">
        <v>51</v>
      </c>
    </row>
    <row r="991" spans="1:10" ht="78.75" customHeight="1">
      <c r="A991" s="21" t="s">
        <v>4077</v>
      </c>
      <c r="B991" s="21" t="s">
        <v>599</v>
      </c>
      <c r="C991" s="22" t="s">
        <v>3944</v>
      </c>
      <c r="D991" s="22" t="s">
        <v>4078</v>
      </c>
      <c r="E991" s="18" t="s">
        <v>42</v>
      </c>
      <c r="F991" s="21" t="s">
        <v>37</v>
      </c>
      <c r="G991" s="22" t="s">
        <v>920</v>
      </c>
      <c r="H991" s="22" t="s">
        <v>4079</v>
      </c>
      <c r="I991" s="22" t="s">
        <v>4080</v>
      </c>
      <c r="J991" s="18" t="s">
        <v>51</v>
      </c>
    </row>
    <row r="992" spans="1:10" ht="48.75" customHeight="1">
      <c r="A992" s="18" t="s">
        <v>4081</v>
      </c>
      <c r="B992" s="18" t="s">
        <v>599</v>
      </c>
      <c r="C992" s="19" t="s">
        <v>3944</v>
      </c>
      <c r="D992" s="19" t="s">
        <v>4082</v>
      </c>
      <c r="E992" s="18" t="s">
        <v>46</v>
      </c>
      <c r="F992" s="18" t="s">
        <v>37</v>
      </c>
      <c r="G992" s="19" t="s">
        <v>823</v>
      </c>
      <c r="H992" s="19" t="s">
        <v>4083</v>
      </c>
      <c r="I992" s="19" t="s">
        <v>958</v>
      </c>
      <c r="J992" s="18" t="s">
        <v>51</v>
      </c>
    </row>
    <row r="993" spans="1:10" ht="48.75" customHeight="1">
      <c r="A993" s="21" t="s">
        <v>4084</v>
      </c>
      <c r="B993" s="21" t="s">
        <v>599</v>
      </c>
      <c r="C993" s="22" t="s">
        <v>3944</v>
      </c>
      <c r="D993" s="22" t="s">
        <v>4085</v>
      </c>
      <c r="E993" s="18" t="s">
        <v>46</v>
      </c>
      <c r="F993" s="21" t="s">
        <v>37</v>
      </c>
      <c r="G993" s="22" t="s">
        <v>961</v>
      </c>
      <c r="H993" s="22" t="s">
        <v>4086</v>
      </c>
      <c r="I993" s="22" t="s">
        <v>958</v>
      </c>
      <c r="J993" s="18" t="s">
        <v>51</v>
      </c>
    </row>
    <row r="994" spans="1:10" ht="48.75" customHeight="1">
      <c r="A994" s="18" t="s">
        <v>4087</v>
      </c>
      <c r="B994" s="18" t="s">
        <v>599</v>
      </c>
      <c r="C994" s="19" t="s">
        <v>3944</v>
      </c>
      <c r="D994" s="19" t="s">
        <v>4088</v>
      </c>
      <c r="E994" s="18" t="s">
        <v>46</v>
      </c>
      <c r="F994" s="18" t="s">
        <v>37</v>
      </c>
      <c r="G994" s="19" t="s">
        <v>828</v>
      </c>
      <c r="H994" s="19" t="s">
        <v>4089</v>
      </c>
      <c r="I994" s="19" t="s">
        <v>958</v>
      </c>
      <c r="J994" s="18" t="s">
        <v>51</v>
      </c>
    </row>
    <row r="995" spans="1:10" ht="78.75" customHeight="1">
      <c r="A995" s="21" t="s">
        <v>4090</v>
      </c>
      <c r="B995" s="21" t="s">
        <v>603</v>
      </c>
      <c r="C995" s="22" t="s">
        <v>3944</v>
      </c>
      <c r="D995" s="22" t="s">
        <v>4091</v>
      </c>
      <c r="E995" s="18" t="s">
        <v>42</v>
      </c>
      <c r="F995" s="21" t="s">
        <v>33</v>
      </c>
      <c r="G995" s="22" t="s">
        <v>920</v>
      </c>
      <c r="H995" s="22" t="s">
        <v>3820</v>
      </c>
      <c r="I995" s="22" t="s">
        <v>3821</v>
      </c>
      <c r="J995" s="18" t="s">
        <v>51</v>
      </c>
    </row>
    <row r="996" spans="1:10" ht="78.75" customHeight="1">
      <c r="A996" s="18" t="s">
        <v>4092</v>
      </c>
      <c r="B996" s="18" t="s">
        <v>603</v>
      </c>
      <c r="C996" s="19" t="s">
        <v>3944</v>
      </c>
      <c r="D996" s="19" t="s">
        <v>4093</v>
      </c>
      <c r="E996" s="18" t="s">
        <v>42</v>
      </c>
      <c r="F996" s="18" t="s">
        <v>33</v>
      </c>
      <c r="G996" s="19" t="s">
        <v>920</v>
      </c>
      <c r="H996" s="19" t="s">
        <v>4094</v>
      </c>
      <c r="I996" s="19" t="s">
        <v>4095</v>
      </c>
      <c r="J996" s="18" t="s">
        <v>51</v>
      </c>
    </row>
    <row r="997" spans="1:10" ht="78.75" customHeight="1">
      <c r="A997" s="21" t="s">
        <v>4096</v>
      </c>
      <c r="B997" s="21" t="s">
        <v>603</v>
      </c>
      <c r="C997" s="22" t="s">
        <v>3944</v>
      </c>
      <c r="D997" s="22" t="s">
        <v>4097</v>
      </c>
      <c r="E997" s="18" t="s">
        <v>42</v>
      </c>
      <c r="F997" s="21" t="s">
        <v>33</v>
      </c>
      <c r="G997" s="22" t="s">
        <v>920</v>
      </c>
      <c r="H997" s="22" t="s">
        <v>4098</v>
      </c>
      <c r="I997" s="22" t="s">
        <v>4099</v>
      </c>
      <c r="J997" s="18" t="s">
        <v>51</v>
      </c>
    </row>
    <row r="998" spans="1:10" ht="48.75" customHeight="1">
      <c r="A998" s="18" t="s">
        <v>4100</v>
      </c>
      <c r="B998" s="18" t="s">
        <v>603</v>
      </c>
      <c r="C998" s="19" t="s">
        <v>3944</v>
      </c>
      <c r="D998" s="19" t="s">
        <v>4101</v>
      </c>
      <c r="E998" s="18" t="s">
        <v>46</v>
      </c>
      <c r="F998" s="18" t="s">
        <v>33</v>
      </c>
      <c r="G998" s="19" t="s">
        <v>823</v>
      </c>
      <c r="H998" s="19" t="s">
        <v>4102</v>
      </c>
      <c r="I998" s="19" t="s">
        <v>958</v>
      </c>
      <c r="J998" s="18" t="s">
        <v>51</v>
      </c>
    </row>
    <row r="999" spans="1:10" ht="48.75" customHeight="1">
      <c r="A999" s="21" t="s">
        <v>4103</v>
      </c>
      <c r="B999" s="21" t="s">
        <v>603</v>
      </c>
      <c r="C999" s="22" t="s">
        <v>3944</v>
      </c>
      <c r="D999" s="22" t="s">
        <v>4104</v>
      </c>
      <c r="E999" s="18" t="s">
        <v>46</v>
      </c>
      <c r="F999" s="21" t="s">
        <v>33</v>
      </c>
      <c r="G999" s="22" t="s">
        <v>961</v>
      </c>
      <c r="H999" s="22" t="s">
        <v>4105</v>
      </c>
      <c r="I999" s="22" t="s">
        <v>958</v>
      </c>
      <c r="J999" s="18" t="s">
        <v>51</v>
      </c>
    </row>
    <row r="1000" spans="1:10" ht="48.75" customHeight="1">
      <c r="A1000" s="18" t="s">
        <v>4106</v>
      </c>
      <c r="B1000" s="18" t="s">
        <v>603</v>
      </c>
      <c r="C1000" s="19" t="s">
        <v>3944</v>
      </c>
      <c r="D1000" s="19" t="s">
        <v>4107</v>
      </c>
      <c r="E1000" s="18" t="s">
        <v>46</v>
      </c>
      <c r="F1000" s="18" t="s">
        <v>33</v>
      </c>
      <c r="G1000" s="19" t="s">
        <v>828</v>
      </c>
      <c r="H1000" s="19" t="s">
        <v>4108</v>
      </c>
      <c r="I1000" s="19" t="s">
        <v>958</v>
      </c>
      <c r="J1000" s="18" t="s">
        <v>51</v>
      </c>
    </row>
    <row r="1001" spans="1:10" ht="78.75" customHeight="1">
      <c r="A1001" s="21" t="s">
        <v>4109</v>
      </c>
      <c r="B1001" s="21" t="s">
        <v>603</v>
      </c>
      <c r="C1001" s="22" t="s">
        <v>3944</v>
      </c>
      <c r="D1001" s="22" t="s">
        <v>4110</v>
      </c>
      <c r="E1001" s="18" t="s">
        <v>44</v>
      </c>
      <c r="F1001" s="21" t="s">
        <v>33</v>
      </c>
      <c r="G1001" s="22" t="s">
        <v>920</v>
      </c>
      <c r="H1001" s="22" t="s">
        <v>1364</v>
      </c>
      <c r="I1001" s="22" t="s">
        <v>1284</v>
      </c>
      <c r="J1001" s="18" t="s">
        <v>51</v>
      </c>
    </row>
    <row r="1002" spans="1:10" ht="78.75" customHeight="1">
      <c r="A1002" s="18" t="s">
        <v>4111</v>
      </c>
      <c r="B1002" s="18" t="s">
        <v>603</v>
      </c>
      <c r="C1002" s="19" t="s">
        <v>3944</v>
      </c>
      <c r="D1002" s="19" t="s">
        <v>4112</v>
      </c>
      <c r="E1002" s="18" t="s">
        <v>42</v>
      </c>
      <c r="F1002" s="18" t="s">
        <v>33</v>
      </c>
      <c r="G1002" s="19" t="s">
        <v>920</v>
      </c>
      <c r="H1002" s="19" t="s">
        <v>1367</v>
      </c>
      <c r="I1002" s="19" t="s">
        <v>1288</v>
      </c>
      <c r="J1002" s="18" t="s">
        <v>51</v>
      </c>
    </row>
    <row r="1003" spans="1:10" ht="78.75" customHeight="1">
      <c r="A1003" s="21" t="s">
        <v>4113</v>
      </c>
      <c r="B1003" s="21" t="s">
        <v>607</v>
      </c>
      <c r="C1003" s="22" t="s">
        <v>3944</v>
      </c>
      <c r="D1003" s="22" t="s">
        <v>4114</v>
      </c>
      <c r="E1003" s="18" t="s">
        <v>42</v>
      </c>
      <c r="F1003" s="21" t="s">
        <v>35</v>
      </c>
      <c r="G1003" s="22" t="s">
        <v>920</v>
      </c>
      <c r="H1003" s="22" t="s">
        <v>4115</v>
      </c>
      <c r="I1003" s="22" t="s">
        <v>4116</v>
      </c>
      <c r="J1003" s="18" t="s">
        <v>51</v>
      </c>
    </row>
    <row r="1004" spans="1:10" ht="78.75" customHeight="1">
      <c r="A1004" s="18" t="s">
        <v>4117</v>
      </c>
      <c r="B1004" s="18" t="s">
        <v>607</v>
      </c>
      <c r="C1004" s="19" t="s">
        <v>3944</v>
      </c>
      <c r="D1004" s="19" t="s">
        <v>4118</v>
      </c>
      <c r="E1004" s="18" t="s">
        <v>42</v>
      </c>
      <c r="F1004" s="18" t="s">
        <v>35</v>
      </c>
      <c r="G1004" s="19" t="s">
        <v>920</v>
      </c>
      <c r="H1004" s="19" t="s">
        <v>4119</v>
      </c>
      <c r="I1004" s="19" t="s">
        <v>4120</v>
      </c>
      <c r="J1004" s="18" t="s">
        <v>51</v>
      </c>
    </row>
    <row r="1005" spans="1:10" ht="78.75" customHeight="1">
      <c r="A1005" s="21" t="s">
        <v>4121</v>
      </c>
      <c r="B1005" s="21" t="s">
        <v>607</v>
      </c>
      <c r="C1005" s="22" t="s">
        <v>3944</v>
      </c>
      <c r="D1005" s="22" t="s">
        <v>4122</v>
      </c>
      <c r="E1005" s="18" t="s">
        <v>42</v>
      </c>
      <c r="F1005" s="21" t="s">
        <v>35</v>
      </c>
      <c r="G1005" s="22" t="s">
        <v>920</v>
      </c>
      <c r="H1005" s="22" t="s">
        <v>2117</v>
      </c>
      <c r="I1005" s="22" t="s">
        <v>2118</v>
      </c>
      <c r="J1005" s="18" t="s">
        <v>51</v>
      </c>
    </row>
    <row r="1006" spans="1:10" ht="48.75" customHeight="1">
      <c r="A1006" s="18" t="s">
        <v>4123</v>
      </c>
      <c r="B1006" s="18" t="s">
        <v>607</v>
      </c>
      <c r="C1006" s="19" t="s">
        <v>3944</v>
      </c>
      <c r="D1006" s="19" t="s">
        <v>4124</v>
      </c>
      <c r="E1006" s="18" t="s">
        <v>46</v>
      </c>
      <c r="F1006" s="18" t="s">
        <v>35</v>
      </c>
      <c r="G1006" s="19" t="s">
        <v>823</v>
      </c>
      <c r="H1006" s="19" t="s">
        <v>4125</v>
      </c>
      <c r="I1006" s="19" t="s">
        <v>958</v>
      </c>
      <c r="J1006" s="18" t="s">
        <v>51</v>
      </c>
    </row>
    <row r="1007" spans="1:10" ht="48.75" customHeight="1">
      <c r="A1007" s="21" t="s">
        <v>4126</v>
      </c>
      <c r="B1007" s="21" t="s">
        <v>607</v>
      </c>
      <c r="C1007" s="22" t="s">
        <v>3944</v>
      </c>
      <c r="D1007" s="22" t="s">
        <v>4127</v>
      </c>
      <c r="E1007" s="18" t="s">
        <v>46</v>
      </c>
      <c r="F1007" s="21" t="s">
        <v>35</v>
      </c>
      <c r="G1007" s="22" t="s">
        <v>961</v>
      </c>
      <c r="H1007" s="22" t="s">
        <v>4128</v>
      </c>
      <c r="I1007" s="22" t="s">
        <v>958</v>
      </c>
      <c r="J1007" s="18" t="s">
        <v>51</v>
      </c>
    </row>
    <row r="1008" spans="1:10" ht="48.75" customHeight="1">
      <c r="A1008" s="18" t="s">
        <v>4129</v>
      </c>
      <c r="B1008" s="18" t="s">
        <v>607</v>
      </c>
      <c r="C1008" s="19" t="s">
        <v>3944</v>
      </c>
      <c r="D1008" s="19" t="s">
        <v>4130</v>
      </c>
      <c r="E1008" s="18" t="s">
        <v>46</v>
      </c>
      <c r="F1008" s="18" t="s">
        <v>35</v>
      </c>
      <c r="G1008" s="19" t="s">
        <v>828</v>
      </c>
      <c r="H1008" s="19" t="s">
        <v>4131</v>
      </c>
      <c r="I1008" s="19" t="s">
        <v>958</v>
      </c>
      <c r="J1008" s="18" t="s">
        <v>51</v>
      </c>
    </row>
    <row r="1009" spans="1:10" ht="78.75" customHeight="1">
      <c r="A1009" s="21" t="s">
        <v>4132</v>
      </c>
      <c r="B1009" s="21" t="s">
        <v>611</v>
      </c>
      <c r="C1009" s="22" t="s">
        <v>3944</v>
      </c>
      <c r="D1009" s="22" t="s">
        <v>4133</v>
      </c>
      <c r="E1009" s="18" t="s">
        <v>42</v>
      </c>
      <c r="F1009" s="21" t="s">
        <v>37</v>
      </c>
      <c r="G1009" s="22" t="s">
        <v>920</v>
      </c>
      <c r="H1009" s="22" t="s">
        <v>4134</v>
      </c>
      <c r="I1009" s="22" t="s">
        <v>4135</v>
      </c>
      <c r="J1009" s="18" t="s">
        <v>51</v>
      </c>
    </row>
    <row r="1010" spans="1:10" ht="78.75" customHeight="1">
      <c r="A1010" s="18" t="s">
        <v>4136</v>
      </c>
      <c r="B1010" s="18" t="s">
        <v>611</v>
      </c>
      <c r="C1010" s="19" t="s">
        <v>3944</v>
      </c>
      <c r="D1010" s="19" t="s">
        <v>4137</v>
      </c>
      <c r="E1010" s="18" t="s">
        <v>42</v>
      </c>
      <c r="F1010" s="18" t="s">
        <v>37</v>
      </c>
      <c r="G1010" s="19" t="s">
        <v>920</v>
      </c>
      <c r="H1010" s="19" t="s">
        <v>3707</v>
      </c>
      <c r="I1010" s="19" t="s">
        <v>3708</v>
      </c>
      <c r="J1010" s="18" t="s">
        <v>51</v>
      </c>
    </row>
    <row r="1011" spans="1:10" ht="78.75" customHeight="1">
      <c r="A1011" s="21" t="s">
        <v>4138</v>
      </c>
      <c r="B1011" s="21" t="s">
        <v>611</v>
      </c>
      <c r="C1011" s="22" t="s">
        <v>3944</v>
      </c>
      <c r="D1011" s="22" t="s">
        <v>4139</v>
      </c>
      <c r="E1011" s="18" t="s">
        <v>42</v>
      </c>
      <c r="F1011" s="21" t="s">
        <v>37</v>
      </c>
      <c r="G1011" s="22" t="s">
        <v>920</v>
      </c>
      <c r="H1011" s="22" t="s">
        <v>4140</v>
      </c>
      <c r="I1011" s="22" t="s">
        <v>4141</v>
      </c>
      <c r="J1011" s="18" t="s">
        <v>51</v>
      </c>
    </row>
    <row r="1012" spans="1:10" ht="48.75" customHeight="1">
      <c r="A1012" s="18" t="s">
        <v>4142</v>
      </c>
      <c r="B1012" s="18" t="s">
        <v>611</v>
      </c>
      <c r="C1012" s="19" t="s">
        <v>3944</v>
      </c>
      <c r="D1012" s="19" t="s">
        <v>4143</v>
      </c>
      <c r="E1012" s="18" t="s">
        <v>46</v>
      </c>
      <c r="F1012" s="18" t="s">
        <v>37</v>
      </c>
      <c r="G1012" s="19" t="s">
        <v>823</v>
      </c>
      <c r="H1012" s="19" t="s">
        <v>4144</v>
      </c>
      <c r="I1012" s="19" t="s">
        <v>958</v>
      </c>
      <c r="J1012" s="18" t="s">
        <v>51</v>
      </c>
    </row>
    <row r="1013" spans="1:10" ht="48.75" customHeight="1">
      <c r="A1013" s="21" t="s">
        <v>4145</v>
      </c>
      <c r="B1013" s="21" t="s">
        <v>611</v>
      </c>
      <c r="C1013" s="22" t="s">
        <v>3944</v>
      </c>
      <c r="D1013" s="22" t="s">
        <v>4146</v>
      </c>
      <c r="E1013" s="18" t="s">
        <v>46</v>
      </c>
      <c r="F1013" s="21" t="s">
        <v>37</v>
      </c>
      <c r="G1013" s="22" t="s">
        <v>961</v>
      </c>
      <c r="H1013" s="22" t="s">
        <v>4147</v>
      </c>
      <c r="I1013" s="22" t="s">
        <v>958</v>
      </c>
      <c r="J1013" s="18" t="s">
        <v>51</v>
      </c>
    </row>
    <row r="1014" spans="1:10" ht="48.75" customHeight="1">
      <c r="A1014" s="18" t="s">
        <v>4148</v>
      </c>
      <c r="B1014" s="18" t="s">
        <v>611</v>
      </c>
      <c r="C1014" s="19" t="s">
        <v>3944</v>
      </c>
      <c r="D1014" s="19" t="s">
        <v>4149</v>
      </c>
      <c r="E1014" s="18" t="s">
        <v>46</v>
      </c>
      <c r="F1014" s="18" t="s">
        <v>37</v>
      </c>
      <c r="G1014" s="19" t="s">
        <v>828</v>
      </c>
      <c r="H1014" s="19" t="s">
        <v>4150</v>
      </c>
      <c r="I1014" s="19" t="s">
        <v>958</v>
      </c>
      <c r="J1014" s="18" t="s">
        <v>51</v>
      </c>
    </row>
    <row r="1015" spans="1:10" ht="78.75" customHeight="1">
      <c r="A1015" s="21" t="s">
        <v>4151</v>
      </c>
      <c r="B1015" s="21" t="s">
        <v>615</v>
      </c>
      <c r="C1015" s="22" t="s">
        <v>3944</v>
      </c>
      <c r="D1015" s="22" t="s">
        <v>4152</v>
      </c>
      <c r="E1015" s="18" t="s">
        <v>42</v>
      </c>
      <c r="F1015" s="21" t="s">
        <v>37</v>
      </c>
      <c r="G1015" s="22" t="s">
        <v>920</v>
      </c>
      <c r="H1015" s="22" t="s">
        <v>4153</v>
      </c>
      <c r="I1015" s="22" t="s">
        <v>4154</v>
      </c>
      <c r="J1015" s="18" t="s">
        <v>51</v>
      </c>
    </row>
    <row r="1016" spans="1:10" ht="78.75" customHeight="1">
      <c r="A1016" s="18" t="s">
        <v>4155</v>
      </c>
      <c r="B1016" s="18" t="s">
        <v>615</v>
      </c>
      <c r="C1016" s="19" t="s">
        <v>3944</v>
      </c>
      <c r="D1016" s="19" t="s">
        <v>4156</v>
      </c>
      <c r="E1016" s="18" t="s">
        <v>42</v>
      </c>
      <c r="F1016" s="18" t="s">
        <v>37</v>
      </c>
      <c r="G1016" s="19" t="s">
        <v>920</v>
      </c>
      <c r="H1016" s="19" t="s">
        <v>4157</v>
      </c>
      <c r="I1016" s="19" t="s">
        <v>4158</v>
      </c>
      <c r="J1016" s="18" t="s">
        <v>51</v>
      </c>
    </row>
    <row r="1017" spans="1:10" ht="78.75" customHeight="1">
      <c r="A1017" s="21" t="s">
        <v>4159</v>
      </c>
      <c r="B1017" s="21" t="s">
        <v>615</v>
      </c>
      <c r="C1017" s="22" t="s">
        <v>3944</v>
      </c>
      <c r="D1017" s="22" t="s">
        <v>4160</v>
      </c>
      <c r="E1017" s="18" t="s">
        <v>44</v>
      </c>
      <c r="F1017" s="21" t="s">
        <v>37</v>
      </c>
      <c r="G1017" s="22" t="s">
        <v>920</v>
      </c>
      <c r="H1017" s="22" t="s">
        <v>4161</v>
      </c>
      <c r="I1017" s="22" t="s">
        <v>4162</v>
      </c>
      <c r="J1017" s="18" t="s">
        <v>51</v>
      </c>
    </row>
    <row r="1018" spans="1:10" ht="48.75" customHeight="1">
      <c r="A1018" s="18" t="s">
        <v>4163</v>
      </c>
      <c r="B1018" s="18" t="s">
        <v>615</v>
      </c>
      <c r="C1018" s="19" t="s">
        <v>3944</v>
      </c>
      <c r="D1018" s="19" t="s">
        <v>4164</v>
      </c>
      <c r="E1018" s="18" t="s">
        <v>46</v>
      </c>
      <c r="F1018" s="18" t="s">
        <v>37</v>
      </c>
      <c r="G1018" s="19" t="s">
        <v>823</v>
      </c>
      <c r="H1018" s="19" t="s">
        <v>4165</v>
      </c>
      <c r="I1018" s="19" t="s">
        <v>958</v>
      </c>
      <c r="J1018" s="18" t="s">
        <v>51</v>
      </c>
    </row>
    <row r="1019" spans="1:10" ht="48.75" customHeight="1">
      <c r="A1019" s="21" t="s">
        <v>4166</v>
      </c>
      <c r="B1019" s="21" t="s">
        <v>615</v>
      </c>
      <c r="C1019" s="22" t="s">
        <v>3944</v>
      </c>
      <c r="D1019" s="22" t="s">
        <v>4167</v>
      </c>
      <c r="E1019" s="18" t="s">
        <v>46</v>
      </c>
      <c r="F1019" s="21" t="s">
        <v>37</v>
      </c>
      <c r="G1019" s="22" t="s">
        <v>961</v>
      </c>
      <c r="H1019" s="22" t="s">
        <v>4168</v>
      </c>
      <c r="I1019" s="22" t="s">
        <v>958</v>
      </c>
      <c r="J1019" s="18" t="s">
        <v>51</v>
      </c>
    </row>
    <row r="1020" spans="1:10" ht="48.75" customHeight="1">
      <c r="A1020" s="18" t="s">
        <v>4169</v>
      </c>
      <c r="B1020" s="18" t="s">
        <v>615</v>
      </c>
      <c r="C1020" s="19" t="s">
        <v>3944</v>
      </c>
      <c r="D1020" s="19" t="s">
        <v>4170</v>
      </c>
      <c r="E1020" s="18" t="s">
        <v>46</v>
      </c>
      <c r="F1020" s="18" t="s">
        <v>37</v>
      </c>
      <c r="G1020" s="19" t="s">
        <v>828</v>
      </c>
      <c r="H1020" s="19" t="s">
        <v>4171</v>
      </c>
      <c r="I1020" s="19" t="s">
        <v>958</v>
      </c>
      <c r="J1020" s="18" t="s">
        <v>51</v>
      </c>
    </row>
    <row r="1021" spans="1:10" ht="78.75" customHeight="1">
      <c r="A1021" s="21" t="s">
        <v>4172</v>
      </c>
      <c r="B1021" s="21" t="s">
        <v>619</v>
      </c>
      <c r="C1021" s="22" t="s">
        <v>3944</v>
      </c>
      <c r="D1021" s="22" t="s">
        <v>4173</v>
      </c>
      <c r="E1021" s="18" t="s">
        <v>42</v>
      </c>
      <c r="F1021" s="21" t="s">
        <v>37</v>
      </c>
      <c r="G1021" s="22" t="s">
        <v>920</v>
      </c>
      <c r="H1021" s="22" t="s">
        <v>4174</v>
      </c>
      <c r="I1021" s="22" t="s">
        <v>4175</v>
      </c>
      <c r="J1021" s="18" t="s">
        <v>51</v>
      </c>
    </row>
    <row r="1022" spans="1:10" ht="78.75" customHeight="1">
      <c r="A1022" s="18" t="s">
        <v>4176</v>
      </c>
      <c r="B1022" s="18" t="s">
        <v>619</v>
      </c>
      <c r="C1022" s="19" t="s">
        <v>3944</v>
      </c>
      <c r="D1022" s="19" t="s">
        <v>4177</v>
      </c>
      <c r="E1022" s="18" t="s">
        <v>42</v>
      </c>
      <c r="F1022" s="18" t="s">
        <v>37</v>
      </c>
      <c r="G1022" s="19" t="s">
        <v>920</v>
      </c>
      <c r="H1022" s="19" t="s">
        <v>4178</v>
      </c>
      <c r="I1022" s="19" t="s">
        <v>4179</v>
      </c>
      <c r="J1022" s="18" t="s">
        <v>51</v>
      </c>
    </row>
    <row r="1023" spans="1:10" ht="48.75" customHeight="1">
      <c r="A1023" s="21" t="s">
        <v>4180</v>
      </c>
      <c r="B1023" s="21" t="s">
        <v>619</v>
      </c>
      <c r="C1023" s="22" t="s">
        <v>3944</v>
      </c>
      <c r="D1023" s="22" t="s">
        <v>4181</v>
      </c>
      <c r="E1023" s="18" t="s">
        <v>46</v>
      </c>
      <c r="F1023" s="21" t="s">
        <v>37</v>
      </c>
      <c r="G1023" s="22" t="s">
        <v>823</v>
      </c>
      <c r="H1023" s="22" t="s">
        <v>4182</v>
      </c>
      <c r="I1023" s="22" t="s">
        <v>958</v>
      </c>
      <c r="J1023" s="18" t="s">
        <v>51</v>
      </c>
    </row>
    <row r="1024" spans="1:10" ht="48.75" customHeight="1">
      <c r="A1024" s="18" t="s">
        <v>4183</v>
      </c>
      <c r="B1024" s="18" t="s">
        <v>619</v>
      </c>
      <c r="C1024" s="19" t="s">
        <v>3944</v>
      </c>
      <c r="D1024" s="19" t="s">
        <v>4184</v>
      </c>
      <c r="E1024" s="18" t="s">
        <v>46</v>
      </c>
      <c r="F1024" s="18" t="s">
        <v>37</v>
      </c>
      <c r="G1024" s="19" t="s">
        <v>961</v>
      </c>
      <c r="H1024" s="19" t="s">
        <v>4185</v>
      </c>
      <c r="I1024" s="19" t="s">
        <v>958</v>
      </c>
      <c r="J1024" s="18" t="s">
        <v>51</v>
      </c>
    </row>
    <row r="1025" spans="1:10" ht="48.75" customHeight="1">
      <c r="A1025" s="21" t="s">
        <v>4186</v>
      </c>
      <c r="B1025" s="21" t="s">
        <v>619</v>
      </c>
      <c r="C1025" s="22" t="s">
        <v>3944</v>
      </c>
      <c r="D1025" s="22" t="s">
        <v>4187</v>
      </c>
      <c r="E1025" s="18" t="s">
        <v>46</v>
      </c>
      <c r="F1025" s="21" t="s">
        <v>37</v>
      </c>
      <c r="G1025" s="22" t="s">
        <v>828</v>
      </c>
      <c r="H1025" s="22" t="s">
        <v>4188</v>
      </c>
      <c r="I1025" s="22" t="s">
        <v>958</v>
      </c>
      <c r="J1025" s="18" t="s">
        <v>51</v>
      </c>
    </row>
    <row r="1026" spans="1:10" ht="78.75" customHeight="1">
      <c r="A1026" s="18" t="s">
        <v>4189</v>
      </c>
      <c r="B1026" s="18" t="s">
        <v>623</v>
      </c>
      <c r="C1026" s="19" t="s">
        <v>3944</v>
      </c>
      <c r="D1026" s="19" t="s">
        <v>4190</v>
      </c>
      <c r="E1026" s="18" t="s">
        <v>42</v>
      </c>
      <c r="F1026" s="18" t="s">
        <v>39</v>
      </c>
      <c r="G1026" s="19" t="s">
        <v>920</v>
      </c>
      <c r="H1026" s="19" t="s">
        <v>4191</v>
      </c>
      <c r="I1026" s="19" t="s">
        <v>4192</v>
      </c>
      <c r="J1026" s="18" t="s">
        <v>51</v>
      </c>
    </row>
    <row r="1027" spans="1:10" ht="78.75" customHeight="1">
      <c r="A1027" s="21" t="s">
        <v>4193</v>
      </c>
      <c r="B1027" s="21" t="s">
        <v>623</v>
      </c>
      <c r="C1027" s="22" t="s">
        <v>3944</v>
      </c>
      <c r="D1027" s="22" t="s">
        <v>4194</v>
      </c>
      <c r="E1027" s="18" t="s">
        <v>42</v>
      </c>
      <c r="F1027" s="21" t="s">
        <v>39</v>
      </c>
      <c r="G1027" s="22" t="s">
        <v>920</v>
      </c>
      <c r="H1027" s="22" t="s">
        <v>4195</v>
      </c>
      <c r="I1027" s="22" t="s">
        <v>4196</v>
      </c>
      <c r="J1027" s="18" t="s">
        <v>51</v>
      </c>
    </row>
    <row r="1028" spans="1:10" ht="48.75" customHeight="1">
      <c r="A1028" s="18" t="s">
        <v>4197</v>
      </c>
      <c r="B1028" s="18" t="s">
        <v>623</v>
      </c>
      <c r="C1028" s="19" t="s">
        <v>3944</v>
      </c>
      <c r="D1028" s="19" t="s">
        <v>4198</v>
      </c>
      <c r="E1028" s="18" t="s">
        <v>46</v>
      </c>
      <c r="F1028" s="18" t="s">
        <v>39</v>
      </c>
      <c r="G1028" s="19" t="s">
        <v>823</v>
      </c>
      <c r="H1028" s="19" t="s">
        <v>4199</v>
      </c>
      <c r="I1028" s="19" t="s">
        <v>958</v>
      </c>
      <c r="J1028" s="18" t="s">
        <v>51</v>
      </c>
    </row>
    <row r="1029" spans="1:10" ht="48.75" customHeight="1">
      <c r="A1029" s="21" t="s">
        <v>4200</v>
      </c>
      <c r="B1029" s="21" t="s">
        <v>623</v>
      </c>
      <c r="C1029" s="22" t="s">
        <v>3944</v>
      </c>
      <c r="D1029" s="22" t="s">
        <v>4201</v>
      </c>
      <c r="E1029" s="18" t="s">
        <v>46</v>
      </c>
      <c r="F1029" s="21" t="s">
        <v>39</v>
      </c>
      <c r="G1029" s="22" t="s">
        <v>961</v>
      </c>
      <c r="H1029" s="22" t="s">
        <v>4202</v>
      </c>
      <c r="I1029" s="22" t="s">
        <v>958</v>
      </c>
      <c r="J1029" s="18" t="s">
        <v>51</v>
      </c>
    </row>
    <row r="1030" spans="1:10" ht="48.75" customHeight="1">
      <c r="A1030" s="18" t="s">
        <v>4203</v>
      </c>
      <c r="B1030" s="18" t="s">
        <v>623</v>
      </c>
      <c r="C1030" s="19" t="s">
        <v>3944</v>
      </c>
      <c r="D1030" s="19" t="s">
        <v>4204</v>
      </c>
      <c r="E1030" s="18" t="s">
        <v>46</v>
      </c>
      <c r="F1030" s="18" t="s">
        <v>39</v>
      </c>
      <c r="G1030" s="19" t="s">
        <v>828</v>
      </c>
      <c r="H1030" s="19" t="s">
        <v>4205</v>
      </c>
      <c r="I1030" s="19" t="s">
        <v>958</v>
      </c>
      <c r="J1030" s="18" t="s">
        <v>51</v>
      </c>
    </row>
    <row r="1031" spans="1:10" ht="78.75" customHeight="1">
      <c r="A1031" s="21" t="s">
        <v>4206</v>
      </c>
      <c r="B1031" s="21" t="s">
        <v>627</v>
      </c>
      <c r="C1031" s="22" t="s">
        <v>3944</v>
      </c>
      <c r="D1031" s="22" t="s">
        <v>4207</v>
      </c>
      <c r="E1031" s="18" t="s">
        <v>42</v>
      </c>
      <c r="F1031" s="21" t="s">
        <v>37</v>
      </c>
      <c r="G1031" s="22" t="s">
        <v>920</v>
      </c>
      <c r="H1031" s="22" t="s">
        <v>4208</v>
      </c>
      <c r="I1031" s="22" t="s">
        <v>4209</v>
      </c>
      <c r="J1031" s="18" t="s">
        <v>51</v>
      </c>
    </row>
    <row r="1032" spans="1:10" ht="78.75" customHeight="1">
      <c r="A1032" s="18" t="s">
        <v>4210</v>
      </c>
      <c r="B1032" s="18" t="s">
        <v>627</v>
      </c>
      <c r="C1032" s="19" t="s">
        <v>3944</v>
      </c>
      <c r="D1032" s="19" t="s">
        <v>4211</v>
      </c>
      <c r="E1032" s="18" t="s">
        <v>42</v>
      </c>
      <c r="F1032" s="18" t="s">
        <v>37</v>
      </c>
      <c r="G1032" s="19" t="s">
        <v>920</v>
      </c>
      <c r="H1032" s="19" t="s">
        <v>4212</v>
      </c>
      <c r="I1032" s="19" t="s">
        <v>4213</v>
      </c>
      <c r="J1032" s="18" t="s">
        <v>51</v>
      </c>
    </row>
    <row r="1033" spans="1:10" ht="48.75" customHeight="1">
      <c r="A1033" s="21" t="s">
        <v>4214</v>
      </c>
      <c r="B1033" s="21" t="s">
        <v>627</v>
      </c>
      <c r="C1033" s="22" t="s">
        <v>3944</v>
      </c>
      <c r="D1033" s="22" t="s">
        <v>4215</v>
      </c>
      <c r="E1033" s="18" t="s">
        <v>46</v>
      </c>
      <c r="F1033" s="21" t="s">
        <v>37</v>
      </c>
      <c r="G1033" s="22" t="s">
        <v>823</v>
      </c>
      <c r="H1033" s="22" t="s">
        <v>4216</v>
      </c>
      <c r="I1033" s="22" t="s">
        <v>958</v>
      </c>
      <c r="J1033" s="18" t="s">
        <v>51</v>
      </c>
    </row>
    <row r="1034" spans="1:10" ht="48.75" customHeight="1">
      <c r="A1034" s="18" t="s">
        <v>4217</v>
      </c>
      <c r="B1034" s="18" t="s">
        <v>627</v>
      </c>
      <c r="C1034" s="19" t="s">
        <v>3944</v>
      </c>
      <c r="D1034" s="19" t="s">
        <v>4218</v>
      </c>
      <c r="E1034" s="18" t="s">
        <v>46</v>
      </c>
      <c r="F1034" s="18" t="s">
        <v>37</v>
      </c>
      <c r="G1034" s="19" t="s">
        <v>961</v>
      </c>
      <c r="H1034" s="19" t="s">
        <v>4219</v>
      </c>
      <c r="I1034" s="19" t="s">
        <v>958</v>
      </c>
      <c r="J1034" s="18" t="s">
        <v>51</v>
      </c>
    </row>
    <row r="1035" spans="1:10" ht="48.75" customHeight="1">
      <c r="A1035" s="21" t="s">
        <v>4220</v>
      </c>
      <c r="B1035" s="21" t="s">
        <v>627</v>
      </c>
      <c r="C1035" s="22" t="s">
        <v>3944</v>
      </c>
      <c r="D1035" s="22" t="s">
        <v>4221</v>
      </c>
      <c r="E1035" s="18" t="s">
        <v>46</v>
      </c>
      <c r="F1035" s="21" t="s">
        <v>37</v>
      </c>
      <c r="G1035" s="22" t="s">
        <v>828</v>
      </c>
      <c r="H1035" s="22" t="s">
        <v>4222</v>
      </c>
      <c r="I1035" s="22" t="s">
        <v>958</v>
      </c>
      <c r="J1035" s="18" t="s">
        <v>51</v>
      </c>
    </row>
    <row r="1036" spans="1:10" ht="78.75" customHeight="1">
      <c r="A1036" s="18" t="s">
        <v>4223</v>
      </c>
      <c r="B1036" s="18" t="s">
        <v>631</v>
      </c>
      <c r="C1036" s="19" t="s">
        <v>3944</v>
      </c>
      <c r="D1036" s="19" t="s">
        <v>4224</v>
      </c>
      <c r="E1036" s="18" t="s">
        <v>42</v>
      </c>
      <c r="F1036" s="18" t="s">
        <v>37</v>
      </c>
      <c r="G1036" s="19" t="s">
        <v>836</v>
      </c>
      <c r="H1036" s="19" t="s">
        <v>4225</v>
      </c>
      <c r="I1036" s="19" t="s">
        <v>3195</v>
      </c>
      <c r="J1036" s="18" t="s">
        <v>51</v>
      </c>
    </row>
    <row r="1037" spans="1:10" ht="78.75" customHeight="1">
      <c r="A1037" s="21" t="s">
        <v>4226</v>
      </c>
      <c r="B1037" s="21" t="s">
        <v>631</v>
      </c>
      <c r="C1037" s="22" t="s">
        <v>3944</v>
      </c>
      <c r="D1037" s="22" t="s">
        <v>4227</v>
      </c>
      <c r="E1037" s="18" t="s">
        <v>42</v>
      </c>
      <c r="F1037" s="21" t="s">
        <v>37</v>
      </c>
      <c r="G1037" s="22" t="s">
        <v>836</v>
      </c>
      <c r="H1037" s="22" t="s">
        <v>4228</v>
      </c>
      <c r="I1037" s="22" t="s">
        <v>3779</v>
      </c>
      <c r="J1037" s="18" t="s">
        <v>51</v>
      </c>
    </row>
    <row r="1038" spans="1:10" ht="48.75" customHeight="1">
      <c r="A1038" s="18" t="s">
        <v>4229</v>
      </c>
      <c r="B1038" s="18" t="s">
        <v>631</v>
      </c>
      <c r="C1038" s="19" t="s">
        <v>3944</v>
      </c>
      <c r="D1038" s="19" t="s">
        <v>4230</v>
      </c>
      <c r="E1038" s="18" t="s">
        <v>46</v>
      </c>
      <c r="F1038" s="18" t="s">
        <v>37</v>
      </c>
      <c r="G1038" s="19" t="s">
        <v>823</v>
      </c>
      <c r="H1038" s="19" t="s">
        <v>4231</v>
      </c>
      <c r="I1038" s="19" t="s">
        <v>825</v>
      </c>
      <c r="J1038" s="18" t="s">
        <v>51</v>
      </c>
    </row>
    <row r="1039" spans="1:10" ht="48.75" customHeight="1">
      <c r="A1039" s="21" t="s">
        <v>4232</v>
      </c>
      <c r="B1039" s="21" t="s">
        <v>631</v>
      </c>
      <c r="C1039" s="22" t="s">
        <v>3944</v>
      </c>
      <c r="D1039" s="22" t="s">
        <v>4233</v>
      </c>
      <c r="E1039" s="18" t="s">
        <v>46</v>
      </c>
      <c r="F1039" s="21" t="s">
        <v>37</v>
      </c>
      <c r="G1039" s="22" t="s">
        <v>828</v>
      </c>
      <c r="H1039" s="22" t="s">
        <v>4234</v>
      </c>
      <c r="I1039" s="22" t="s">
        <v>825</v>
      </c>
      <c r="J1039" s="18" t="s">
        <v>51</v>
      </c>
    </row>
    <row r="1040" spans="1:10" ht="78.75" customHeight="1">
      <c r="A1040" s="18" t="s">
        <v>4235</v>
      </c>
      <c r="B1040" s="18" t="s">
        <v>631</v>
      </c>
      <c r="C1040" s="19" t="s">
        <v>3944</v>
      </c>
      <c r="D1040" s="19" t="s">
        <v>4236</v>
      </c>
      <c r="E1040" s="18" t="s">
        <v>44</v>
      </c>
      <c r="F1040" s="18" t="s">
        <v>37</v>
      </c>
      <c r="G1040" s="19" t="s">
        <v>836</v>
      </c>
      <c r="H1040" s="19" t="s">
        <v>1337</v>
      </c>
      <c r="I1040" s="19" t="s">
        <v>1284</v>
      </c>
      <c r="J1040" s="18" t="s">
        <v>51</v>
      </c>
    </row>
    <row r="1041" spans="1:10" ht="78.75" customHeight="1">
      <c r="A1041" s="21" t="s">
        <v>4237</v>
      </c>
      <c r="B1041" s="21" t="s">
        <v>631</v>
      </c>
      <c r="C1041" s="22" t="s">
        <v>3944</v>
      </c>
      <c r="D1041" s="22" t="s">
        <v>4238</v>
      </c>
      <c r="E1041" s="18" t="s">
        <v>42</v>
      </c>
      <c r="F1041" s="21" t="s">
        <v>37</v>
      </c>
      <c r="G1041" s="22" t="s">
        <v>836</v>
      </c>
      <c r="H1041" s="22" t="s">
        <v>1340</v>
      </c>
      <c r="I1041" s="22" t="s">
        <v>1288</v>
      </c>
      <c r="J1041" s="18" t="s">
        <v>51</v>
      </c>
    </row>
    <row r="1042" spans="1:10" ht="78.75" customHeight="1">
      <c r="A1042" s="18" t="s">
        <v>4239</v>
      </c>
      <c r="B1042" s="18" t="s">
        <v>635</v>
      </c>
      <c r="C1042" s="19" t="s">
        <v>3944</v>
      </c>
      <c r="D1042" s="19" t="s">
        <v>4240</v>
      </c>
      <c r="E1042" s="18" t="s">
        <v>42</v>
      </c>
      <c r="F1042" s="18" t="s">
        <v>35</v>
      </c>
      <c r="G1042" s="19" t="s">
        <v>920</v>
      </c>
      <c r="H1042" s="19" t="s">
        <v>4241</v>
      </c>
      <c r="I1042" s="19" t="s">
        <v>4242</v>
      </c>
      <c r="J1042" s="18" t="s">
        <v>51</v>
      </c>
    </row>
    <row r="1043" spans="1:10" ht="78.75" customHeight="1">
      <c r="A1043" s="21" t="s">
        <v>4243</v>
      </c>
      <c r="B1043" s="21" t="s">
        <v>635</v>
      </c>
      <c r="C1043" s="22" t="s">
        <v>3944</v>
      </c>
      <c r="D1043" s="22" t="s">
        <v>4244</v>
      </c>
      <c r="E1043" s="18" t="s">
        <v>42</v>
      </c>
      <c r="F1043" s="21" t="s">
        <v>35</v>
      </c>
      <c r="G1043" s="22" t="s">
        <v>920</v>
      </c>
      <c r="H1043" s="22" t="s">
        <v>4245</v>
      </c>
      <c r="I1043" s="22" t="s">
        <v>4246</v>
      </c>
      <c r="J1043" s="18" t="s">
        <v>51</v>
      </c>
    </row>
    <row r="1044" spans="1:10" ht="78.75" customHeight="1">
      <c r="A1044" s="18" t="s">
        <v>4247</v>
      </c>
      <c r="B1044" s="18" t="s">
        <v>635</v>
      </c>
      <c r="C1044" s="19" t="s">
        <v>3944</v>
      </c>
      <c r="D1044" s="19" t="s">
        <v>4248</v>
      </c>
      <c r="E1044" s="18" t="s">
        <v>42</v>
      </c>
      <c r="F1044" s="18" t="s">
        <v>35</v>
      </c>
      <c r="G1044" s="19" t="s">
        <v>920</v>
      </c>
      <c r="H1044" s="19" t="s">
        <v>4249</v>
      </c>
      <c r="I1044" s="19" t="s">
        <v>4250</v>
      </c>
      <c r="J1044" s="18" t="s">
        <v>51</v>
      </c>
    </row>
    <row r="1045" spans="1:10" ht="78.75" customHeight="1">
      <c r="A1045" s="21" t="s">
        <v>4251</v>
      </c>
      <c r="B1045" s="21" t="s">
        <v>635</v>
      </c>
      <c r="C1045" s="22" t="s">
        <v>3944</v>
      </c>
      <c r="D1045" s="22" t="s">
        <v>4252</v>
      </c>
      <c r="E1045" s="18" t="s">
        <v>42</v>
      </c>
      <c r="F1045" s="21" t="s">
        <v>35</v>
      </c>
      <c r="G1045" s="22" t="s">
        <v>920</v>
      </c>
      <c r="H1045" s="22" t="s">
        <v>4253</v>
      </c>
      <c r="I1045" s="22" t="s">
        <v>4254</v>
      </c>
      <c r="J1045" s="18" t="s">
        <v>51</v>
      </c>
    </row>
    <row r="1046" spans="1:10" ht="48.75" customHeight="1">
      <c r="A1046" s="18" t="s">
        <v>4255</v>
      </c>
      <c r="B1046" s="18" t="s">
        <v>635</v>
      </c>
      <c r="C1046" s="19" t="s">
        <v>3944</v>
      </c>
      <c r="D1046" s="19" t="s">
        <v>4256</v>
      </c>
      <c r="E1046" s="18" t="s">
        <v>46</v>
      </c>
      <c r="F1046" s="18" t="s">
        <v>35</v>
      </c>
      <c r="G1046" s="19" t="s">
        <v>823</v>
      </c>
      <c r="H1046" s="19" t="s">
        <v>4257</v>
      </c>
      <c r="I1046" s="19" t="s">
        <v>958</v>
      </c>
      <c r="J1046" s="18" t="s">
        <v>51</v>
      </c>
    </row>
    <row r="1047" spans="1:10" ht="48.75" customHeight="1">
      <c r="A1047" s="21" t="s">
        <v>4258</v>
      </c>
      <c r="B1047" s="21" t="s">
        <v>635</v>
      </c>
      <c r="C1047" s="22" t="s">
        <v>3944</v>
      </c>
      <c r="D1047" s="22" t="s">
        <v>4259</v>
      </c>
      <c r="E1047" s="18" t="s">
        <v>46</v>
      </c>
      <c r="F1047" s="21" t="s">
        <v>35</v>
      </c>
      <c r="G1047" s="22" t="s">
        <v>961</v>
      </c>
      <c r="H1047" s="22" t="s">
        <v>4260</v>
      </c>
      <c r="I1047" s="22" t="s">
        <v>958</v>
      </c>
      <c r="J1047" s="18" t="s">
        <v>51</v>
      </c>
    </row>
    <row r="1048" spans="1:10" ht="48.75" customHeight="1">
      <c r="A1048" s="18" t="s">
        <v>4261</v>
      </c>
      <c r="B1048" s="18" t="s">
        <v>635</v>
      </c>
      <c r="C1048" s="19" t="s">
        <v>3944</v>
      </c>
      <c r="D1048" s="19" t="s">
        <v>4262</v>
      </c>
      <c r="E1048" s="18" t="s">
        <v>46</v>
      </c>
      <c r="F1048" s="18" t="s">
        <v>35</v>
      </c>
      <c r="G1048" s="19" t="s">
        <v>828</v>
      </c>
      <c r="H1048" s="19" t="s">
        <v>4263</v>
      </c>
      <c r="I1048" s="19" t="s">
        <v>958</v>
      </c>
      <c r="J1048" s="18" t="s">
        <v>51</v>
      </c>
    </row>
    <row r="1049" spans="1:10" ht="78.75" customHeight="1">
      <c r="A1049" s="21" t="s">
        <v>4264</v>
      </c>
      <c r="B1049" s="21" t="s">
        <v>639</v>
      </c>
      <c r="C1049" s="22" t="s">
        <v>4265</v>
      </c>
      <c r="D1049" s="22" t="s">
        <v>4266</v>
      </c>
      <c r="E1049" s="18" t="s">
        <v>42</v>
      </c>
      <c r="F1049" s="21" t="s">
        <v>33</v>
      </c>
      <c r="G1049" s="22" t="s">
        <v>836</v>
      </c>
      <c r="H1049" s="22" t="s">
        <v>4267</v>
      </c>
      <c r="I1049" s="22" t="s">
        <v>1194</v>
      </c>
      <c r="J1049" s="18" t="s">
        <v>51</v>
      </c>
    </row>
    <row r="1050" spans="1:10" ht="78.75" customHeight="1">
      <c r="A1050" s="18" t="s">
        <v>4268</v>
      </c>
      <c r="B1050" s="18" t="s">
        <v>639</v>
      </c>
      <c r="C1050" s="19" t="s">
        <v>4265</v>
      </c>
      <c r="D1050" s="19" t="s">
        <v>4269</v>
      </c>
      <c r="E1050" s="18" t="s">
        <v>42</v>
      </c>
      <c r="F1050" s="18" t="s">
        <v>33</v>
      </c>
      <c r="G1050" s="19" t="s">
        <v>836</v>
      </c>
      <c r="H1050" s="19" t="s">
        <v>4270</v>
      </c>
      <c r="I1050" s="19" t="s">
        <v>4271</v>
      </c>
      <c r="J1050" s="18" t="s">
        <v>51</v>
      </c>
    </row>
    <row r="1051" spans="1:10" ht="78.75" customHeight="1">
      <c r="A1051" s="21" t="s">
        <v>4272</v>
      </c>
      <c r="B1051" s="21" t="s">
        <v>639</v>
      </c>
      <c r="C1051" s="22" t="s">
        <v>4265</v>
      </c>
      <c r="D1051" s="22" t="s">
        <v>4273</v>
      </c>
      <c r="E1051" s="18" t="s">
        <v>42</v>
      </c>
      <c r="F1051" s="21" t="s">
        <v>33</v>
      </c>
      <c r="G1051" s="22" t="s">
        <v>836</v>
      </c>
      <c r="H1051" s="22" t="s">
        <v>4274</v>
      </c>
      <c r="I1051" s="22" t="s">
        <v>4275</v>
      </c>
      <c r="J1051" s="18" t="s">
        <v>51</v>
      </c>
    </row>
    <row r="1052" spans="1:10" ht="78.75" customHeight="1">
      <c r="A1052" s="18" t="s">
        <v>4276</v>
      </c>
      <c r="B1052" s="18" t="s">
        <v>639</v>
      </c>
      <c r="C1052" s="19" t="s">
        <v>4265</v>
      </c>
      <c r="D1052" s="19" t="s">
        <v>4277</v>
      </c>
      <c r="E1052" s="18" t="s">
        <v>42</v>
      </c>
      <c r="F1052" s="18" t="s">
        <v>33</v>
      </c>
      <c r="G1052" s="19" t="s">
        <v>836</v>
      </c>
      <c r="H1052" s="19" t="s">
        <v>4278</v>
      </c>
      <c r="I1052" s="19" t="s">
        <v>4279</v>
      </c>
      <c r="J1052" s="18" t="s">
        <v>51</v>
      </c>
    </row>
    <row r="1053" spans="1:10" ht="78.75" customHeight="1">
      <c r="A1053" s="21" t="s">
        <v>4280</v>
      </c>
      <c r="B1053" s="21" t="s">
        <v>639</v>
      </c>
      <c r="C1053" s="22" t="s">
        <v>4265</v>
      </c>
      <c r="D1053" s="22" t="s">
        <v>4281</v>
      </c>
      <c r="E1053" s="18" t="s">
        <v>42</v>
      </c>
      <c r="F1053" s="21" t="s">
        <v>33</v>
      </c>
      <c r="G1053" s="22" t="s">
        <v>836</v>
      </c>
      <c r="H1053" s="22" t="s">
        <v>4282</v>
      </c>
      <c r="I1053" s="22" t="s">
        <v>4283</v>
      </c>
      <c r="J1053" s="18" t="s">
        <v>51</v>
      </c>
    </row>
    <row r="1054" spans="1:10" ht="78.75" customHeight="1">
      <c r="A1054" s="18" t="s">
        <v>4284</v>
      </c>
      <c r="B1054" s="18" t="s">
        <v>639</v>
      </c>
      <c r="C1054" s="19" t="s">
        <v>4265</v>
      </c>
      <c r="D1054" s="19" t="s">
        <v>4285</v>
      </c>
      <c r="E1054" s="18" t="s">
        <v>42</v>
      </c>
      <c r="F1054" s="18" t="s">
        <v>33</v>
      </c>
      <c r="G1054" s="19" t="s">
        <v>836</v>
      </c>
      <c r="H1054" s="19" t="s">
        <v>4286</v>
      </c>
      <c r="I1054" s="19" t="s">
        <v>808</v>
      </c>
      <c r="J1054" s="18" t="s">
        <v>51</v>
      </c>
    </row>
    <row r="1055" spans="1:10" ht="48.75" customHeight="1">
      <c r="A1055" s="21" t="s">
        <v>4287</v>
      </c>
      <c r="B1055" s="21" t="s">
        <v>639</v>
      </c>
      <c r="C1055" s="22" t="s">
        <v>4265</v>
      </c>
      <c r="D1055" s="22" t="s">
        <v>4288</v>
      </c>
      <c r="E1055" s="18" t="s">
        <v>46</v>
      </c>
      <c r="F1055" s="21" t="s">
        <v>33</v>
      </c>
      <c r="G1055" s="22" t="s">
        <v>836</v>
      </c>
      <c r="H1055" s="22" t="s">
        <v>4289</v>
      </c>
      <c r="I1055" s="22" t="s">
        <v>812</v>
      </c>
      <c r="J1055" s="18" t="s">
        <v>51</v>
      </c>
    </row>
    <row r="1056" spans="1:10" ht="93.75" customHeight="1">
      <c r="A1056" s="18" t="s">
        <v>4290</v>
      </c>
      <c r="B1056" s="18" t="s">
        <v>639</v>
      </c>
      <c r="C1056" s="19" t="s">
        <v>4265</v>
      </c>
      <c r="D1056" s="19" t="s">
        <v>4291</v>
      </c>
      <c r="E1056" s="18" t="s">
        <v>44</v>
      </c>
      <c r="F1056" s="18" t="s">
        <v>33</v>
      </c>
      <c r="G1056" s="19" t="s">
        <v>836</v>
      </c>
      <c r="H1056" s="19" t="s">
        <v>4292</v>
      </c>
      <c r="I1056" s="19" t="s">
        <v>816</v>
      </c>
      <c r="J1056" s="18" t="s">
        <v>51</v>
      </c>
    </row>
    <row r="1057" spans="1:10" ht="78.75" customHeight="1">
      <c r="A1057" s="21" t="s">
        <v>4293</v>
      </c>
      <c r="B1057" s="21" t="s">
        <v>639</v>
      </c>
      <c r="C1057" s="22" t="s">
        <v>4265</v>
      </c>
      <c r="D1057" s="22" t="s">
        <v>4294</v>
      </c>
      <c r="E1057" s="18" t="s">
        <v>44</v>
      </c>
      <c r="F1057" s="21" t="s">
        <v>33</v>
      </c>
      <c r="G1057" s="22" t="s">
        <v>836</v>
      </c>
      <c r="H1057" s="22" t="s">
        <v>4295</v>
      </c>
      <c r="I1057" s="22" t="s">
        <v>820</v>
      </c>
      <c r="J1057" s="18" t="s">
        <v>51</v>
      </c>
    </row>
    <row r="1058" spans="1:10" ht="48.75" customHeight="1">
      <c r="A1058" s="18" t="s">
        <v>4296</v>
      </c>
      <c r="B1058" s="18" t="s">
        <v>639</v>
      </c>
      <c r="C1058" s="19" t="s">
        <v>4265</v>
      </c>
      <c r="D1058" s="19" t="s">
        <v>4297</v>
      </c>
      <c r="E1058" s="18" t="s">
        <v>46</v>
      </c>
      <c r="F1058" s="18" t="s">
        <v>33</v>
      </c>
      <c r="G1058" s="19" t="s">
        <v>823</v>
      </c>
      <c r="H1058" s="19" t="s">
        <v>4298</v>
      </c>
      <c r="I1058" s="19" t="s">
        <v>825</v>
      </c>
      <c r="J1058" s="18" t="s">
        <v>51</v>
      </c>
    </row>
    <row r="1059" spans="1:10" ht="48.75" customHeight="1">
      <c r="A1059" s="21" t="s">
        <v>4299</v>
      </c>
      <c r="B1059" s="21" t="s">
        <v>639</v>
      </c>
      <c r="C1059" s="22" t="s">
        <v>4265</v>
      </c>
      <c r="D1059" s="22" t="s">
        <v>4300</v>
      </c>
      <c r="E1059" s="18" t="s">
        <v>46</v>
      </c>
      <c r="F1059" s="21" t="s">
        <v>33</v>
      </c>
      <c r="G1059" s="22" t="s">
        <v>828</v>
      </c>
      <c r="H1059" s="22" t="s">
        <v>4301</v>
      </c>
      <c r="I1059" s="22" t="s">
        <v>825</v>
      </c>
      <c r="J1059" s="18" t="s">
        <v>51</v>
      </c>
    </row>
    <row r="1060" spans="1:10" ht="78.75" customHeight="1">
      <c r="A1060" s="18" t="s">
        <v>4302</v>
      </c>
      <c r="B1060" s="18" t="s">
        <v>639</v>
      </c>
      <c r="C1060" s="19" t="s">
        <v>4265</v>
      </c>
      <c r="D1060" s="19" t="s">
        <v>4303</v>
      </c>
      <c r="E1060" s="18" t="s">
        <v>44</v>
      </c>
      <c r="F1060" s="18" t="s">
        <v>33</v>
      </c>
      <c r="G1060" s="19" t="s">
        <v>836</v>
      </c>
      <c r="H1060" s="19" t="s">
        <v>1337</v>
      </c>
      <c r="I1060" s="19" t="s">
        <v>1284</v>
      </c>
      <c r="J1060" s="18" t="s">
        <v>51</v>
      </c>
    </row>
    <row r="1061" spans="1:10" ht="78.75" customHeight="1">
      <c r="A1061" s="21" t="s">
        <v>4304</v>
      </c>
      <c r="B1061" s="21" t="s">
        <v>639</v>
      </c>
      <c r="C1061" s="22" t="s">
        <v>4265</v>
      </c>
      <c r="D1061" s="22" t="s">
        <v>4305</v>
      </c>
      <c r="E1061" s="18" t="s">
        <v>42</v>
      </c>
      <c r="F1061" s="21" t="s">
        <v>33</v>
      </c>
      <c r="G1061" s="22" t="s">
        <v>836</v>
      </c>
      <c r="H1061" s="22" t="s">
        <v>1340</v>
      </c>
      <c r="I1061" s="22" t="s">
        <v>1288</v>
      </c>
      <c r="J1061" s="18" t="s">
        <v>51</v>
      </c>
    </row>
    <row r="1062" spans="1:10" ht="78.75" customHeight="1">
      <c r="A1062" s="18" t="s">
        <v>4306</v>
      </c>
      <c r="B1062" s="18" t="s">
        <v>646</v>
      </c>
      <c r="C1062" s="19" t="s">
        <v>4265</v>
      </c>
      <c r="D1062" s="19" t="s">
        <v>4307</v>
      </c>
      <c r="E1062" s="18" t="s">
        <v>42</v>
      </c>
      <c r="F1062" s="18" t="s">
        <v>33</v>
      </c>
      <c r="G1062" s="19" t="s">
        <v>4308</v>
      </c>
      <c r="H1062" s="19" t="s">
        <v>4309</v>
      </c>
      <c r="I1062" s="19" t="s">
        <v>3867</v>
      </c>
      <c r="J1062" s="18" t="s">
        <v>51</v>
      </c>
    </row>
    <row r="1063" spans="1:10" ht="78.75" customHeight="1">
      <c r="A1063" s="21" t="s">
        <v>4310</v>
      </c>
      <c r="B1063" s="21" t="s">
        <v>646</v>
      </c>
      <c r="C1063" s="22" t="s">
        <v>4265</v>
      </c>
      <c r="D1063" s="22" t="s">
        <v>4311</v>
      </c>
      <c r="E1063" s="18" t="s">
        <v>42</v>
      </c>
      <c r="F1063" s="21" t="s">
        <v>33</v>
      </c>
      <c r="G1063" s="22" t="s">
        <v>4308</v>
      </c>
      <c r="H1063" s="22" t="s">
        <v>4312</v>
      </c>
      <c r="I1063" s="22" t="s">
        <v>4313</v>
      </c>
      <c r="J1063" s="18" t="s">
        <v>51</v>
      </c>
    </row>
    <row r="1064" spans="1:10" ht="78.75" customHeight="1">
      <c r="A1064" s="18" t="s">
        <v>4314</v>
      </c>
      <c r="B1064" s="18" t="s">
        <v>646</v>
      </c>
      <c r="C1064" s="19" t="s">
        <v>4265</v>
      </c>
      <c r="D1064" s="19" t="s">
        <v>4315</v>
      </c>
      <c r="E1064" s="18" t="s">
        <v>42</v>
      </c>
      <c r="F1064" s="18" t="s">
        <v>33</v>
      </c>
      <c r="G1064" s="19" t="s">
        <v>4308</v>
      </c>
      <c r="H1064" s="19" t="s">
        <v>4316</v>
      </c>
      <c r="I1064" s="19" t="s">
        <v>3199</v>
      </c>
      <c r="J1064" s="18" t="s">
        <v>51</v>
      </c>
    </row>
    <row r="1065" spans="1:10" ht="78.75" customHeight="1">
      <c r="A1065" s="21" t="s">
        <v>4317</v>
      </c>
      <c r="B1065" s="21" t="s">
        <v>646</v>
      </c>
      <c r="C1065" s="22" t="s">
        <v>4265</v>
      </c>
      <c r="D1065" s="22" t="s">
        <v>4318</v>
      </c>
      <c r="E1065" s="18" t="s">
        <v>42</v>
      </c>
      <c r="F1065" s="21" t="s">
        <v>33</v>
      </c>
      <c r="G1065" s="22" t="s">
        <v>4308</v>
      </c>
      <c r="H1065" s="22" t="s">
        <v>4319</v>
      </c>
      <c r="I1065" s="22" t="s">
        <v>4320</v>
      </c>
      <c r="J1065" s="18" t="s">
        <v>51</v>
      </c>
    </row>
    <row r="1066" spans="1:10" ht="63.75" customHeight="1">
      <c r="A1066" s="18" t="s">
        <v>4321</v>
      </c>
      <c r="B1066" s="18" t="s">
        <v>646</v>
      </c>
      <c r="C1066" s="19" t="s">
        <v>4265</v>
      </c>
      <c r="D1066" s="19" t="s">
        <v>4322</v>
      </c>
      <c r="E1066" s="18" t="s">
        <v>46</v>
      </c>
      <c r="F1066" s="18" t="s">
        <v>33</v>
      </c>
      <c r="G1066" s="19" t="s">
        <v>961</v>
      </c>
      <c r="H1066" s="19" t="s">
        <v>4323</v>
      </c>
      <c r="I1066" s="19" t="s">
        <v>4324</v>
      </c>
      <c r="J1066" s="18" t="s">
        <v>51</v>
      </c>
    </row>
    <row r="1067" spans="1:10" ht="63.75" customHeight="1">
      <c r="A1067" s="21" t="s">
        <v>4325</v>
      </c>
      <c r="B1067" s="21" t="s">
        <v>646</v>
      </c>
      <c r="C1067" s="22" t="s">
        <v>4265</v>
      </c>
      <c r="D1067" s="22" t="s">
        <v>4326</v>
      </c>
      <c r="E1067" s="18" t="s">
        <v>46</v>
      </c>
      <c r="F1067" s="21" t="s">
        <v>33</v>
      </c>
      <c r="G1067" s="22" t="s">
        <v>828</v>
      </c>
      <c r="H1067" s="22" t="s">
        <v>4327</v>
      </c>
      <c r="I1067" s="22" t="s">
        <v>4324</v>
      </c>
      <c r="J1067" s="18" t="s">
        <v>51</v>
      </c>
    </row>
    <row r="1068" spans="1:10" ht="78.75" customHeight="1">
      <c r="A1068" s="18" t="s">
        <v>4328</v>
      </c>
      <c r="B1068" s="18" t="s">
        <v>646</v>
      </c>
      <c r="C1068" s="19" t="s">
        <v>4265</v>
      </c>
      <c r="D1068" s="19" t="s">
        <v>4329</v>
      </c>
      <c r="E1068" s="18" t="s">
        <v>44</v>
      </c>
      <c r="F1068" s="18" t="s">
        <v>33</v>
      </c>
      <c r="G1068" s="19" t="s">
        <v>4308</v>
      </c>
      <c r="H1068" s="19" t="s">
        <v>4330</v>
      </c>
      <c r="I1068" s="19" t="s">
        <v>1284</v>
      </c>
      <c r="J1068" s="18" t="s">
        <v>51</v>
      </c>
    </row>
    <row r="1069" spans="1:10" ht="78.75" customHeight="1">
      <c r="A1069" s="21" t="s">
        <v>4331</v>
      </c>
      <c r="B1069" s="21" t="s">
        <v>646</v>
      </c>
      <c r="C1069" s="22" t="s">
        <v>4265</v>
      </c>
      <c r="D1069" s="22" t="s">
        <v>4332</v>
      </c>
      <c r="E1069" s="18" t="s">
        <v>42</v>
      </c>
      <c r="F1069" s="21" t="s">
        <v>33</v>
      </c>
      <c r="G1069" s="22" t="s">
        <v>4308</v>
      </c>
      <c r="H1069" s="22" t="s">
        <v>4333</v>
      </c>
      <c r="I1069" s="22" t="s">
        <v>1288</v>
      </c>
      <c r="J1069" s="18" t="s">
        <v>51</v>
      </c>
    </row>
    <row r="1070" spans="1:10" ht="78.75" customHeight="1">
      <c r="A1070" s="18" t="s">
        <v>4334</v>
      </c>
      <c r="B1070" s="18" t="s">
        <v>651</v>
      </c>
      <c r="C1070" s="19" t="s">
        <v>4265</v>
      </c>
      <c r="D1070" s="19" t="s">
        <v>4335</v>
      </c>
      <c r="E1070" s="18" t="s">
        <v>42</v>
      </c>
      <c r="F1070" s="18" t="s">
        <v>35</v>
      </c>
      <c r="G1070" s="19" t="s">
        <v>920</v>
      </c>
      <c r="H1070" s="19" t="s">
        <v>4336</v>
      </c>
      <c r="I1070" s="19" t="s">
        <v>4337</v>
      </c>
      <c r="J1070" s="18" t="s">
        <v>51</v>
      </c>
    </row>
    <row r="1071" spans="1:10" ht="63.75" customHeight="1">
      <c r="A1071" s="21" t="s">
        <v>4338</v>
      </c>
      <c r="B1071" s="21" t="s">
        <v>651</v>
      </c>
      <c r="C1071" s="22" t="s">
        <v>4265</v>
      </c>
      <c r="D1071" s="22" t="s">
        <v>4339</v>
      </c>
      <c r="E1071" s="18" t="s">
        <v>42</v>
      </c>
      <c r="F1071" s="21" t="s">
        <v>35</v>
      </c>
      <c r="G1071" s="22" t="s">
        <v>920</v>
      </c>
      <c r="H1071" s="22" t="s">
        <v>4340</v>
      </c>
      <c r="I1071" s="22" t="s">
        <v>4341</v>
      </c>
      <c r="J1071" s="18" t="s">
        <v>51</v>
      </c>
    </row>
    <row r="1072" spans="1:10" ht="78.75" customHeight="1">
      <c r="A1072" s="18" t="s">
        <v>4342</v>
      </c>
      <c r="B1072" s="18" t="s">
        <v>651</v>
      </c>
      <c r="C1072" s="19" t="s">
        <v>4265</v>
      </c>
      <c r="D1072" s="19" t="s">
        <v>4343</v>
      </c>
      <c r="E1072" s="18" t="s">
        <v>42</v>
      </c>
      <c r="F1072" s="18" t="s">
        <v>35</v>
      </c>
      <c r="G1072" s="19" t="s">
        <v>920</v>
      </c>
      <c r="H1072" s="19" t="s">
        <v>3778</v>
      </c>
      <c r="I1072" s="19" t="s">
        <v>3779</v>
      </c>
      <c r="J1072" s="18" t="s">
        <v>51</v>
      </c>
    </row>
    <row r="1073" spans="1:10" ht="48.75" customHeight="1">
      <c r="A1073" s="21" t="s">
        <v>4344</v>
      </c>
      <c r="B1073" s="21" t="s">
        <v>651</v>
      </c>
      <c r="C1073" s="22" t="s">
        <v>4265</v>
      </c>
      <c r="D1073" s="22" t="s">
        <v>4345</v>
      </c>
      <c r="E1073" s="18" t="s">
        <v>46</v>
      </c>
      <c r="F1073" s="21" t="s">
        <v>35</v>
      </c>
      <c r="G1073" s="22" t="s">
        <v>823</v>
      </c>
      <c r="H1073" s="22" t="s">
        <v>4346</v>
      </c>
      <c r="I1073" s="22" t="s">
        <v>958</v>
      </c>
      <c r="J1073" s="18" t="s">
        <v>51</v>
      </c>
    </row>
    <row r="1074" spans="1:10" ht="48.75" customHeight="1">
      <c r="A1074" s="18" t="s">
        <v>4347</v>
      </c>
      <c r="B1074" s="18" t="s">
        <v>651</v>
      </c>
      <c r="C1074" s="19" t="s">
        <v>4265</v>
      </c>
      <c r="D1074" s="19" t="s">
        <v>4348</v>
      </c>
      <c r="E1074" s="18" t="s">
        <v>46</v>
      </c>
      <c r="F1074" s="18" t="s">
        <v>35</v>
      </c>
      <c r="G1074" s="19" t="s">
        <v>961</v>
      </c>
      <c r="H1074" s="19" t="s">
        <v>4349</v>
      </c>
      <c r="I1074" s="19" t="s">
        <v>958</v>
      </c>
      <c r="J1074" s="18" t="s">
        <v>51</v>
      </c>
    </row>
    <row r="1075" spans="1:10" ht="48.75" customHeight="1">
      <c r="A1075" s="21" t="s">
        <v>4350</v>
      </c>
      <c r="B1075" s="21" t="s">
        <v>651</v>
      </c>
      <c r="C1075" s="22" t="s">
        <v>4265</v>
      </c>
      <c r="D1075" s="22" t="s">
        <v>4351</v>
      </c>
      <c r="E1075" s="18" t="s">
        <v>46</v>
      </c>
      <c r="F1075" s="21" t="s">
        <v>35</v>
      </c>
      <c r="G1075" s="22" t="s">
        <v>828</v>
      </c>
      <c r="H1075" s="22" t="s">
        <v>4352</v>
      </c>
      <c r="I1075" s="22" t="s">
        <v>958</v>
      </c>
      <c r="J1075" s="18" t="s">
        <v>51</v>
      </c>
    </row>
    <row r="1076" spans="1:10" ht="78.75" customHeight="1">
      <c r="A1076" s="18" t="s">
        <v>4353</v>
      </c>
      <c r="B1076" s="18" t="s">
        <v>651</v>
      </c>
      <c r="C1076" s="19" t="s">
        <v>4265</v>
      </c>
      <c r="D1076" s="19" t="s">
        <v>4354</v>
      </c>
      <c r="E1076" s="18" t="s">
        <v>44</v>
      </c>
      <c r="F1076" s="18" t="s">
        <v>35</v>
      </c>
      <c r="G1076" s="19" t="s">
        <v>920</v>
      </c>
      <c r="H1076" s="19" t="s">
        <v>1364</v>
      </c>
      <c r="I1076" s="19" t="s">
        <v>1284</v>
      </c>
      <c r="J1076" s="18" t="s">
        <v>51</v>
      </c>
    </row>
    <row r="1077" spans="1:10" ht="78.75" customHeight="1">
      <c r="A1077" s="21" t="s">
        <v>4355</v>
      </c>
      <c r="B1077" s="21" t="s">
        <v>651</v>
      </c>
      <c r="C1077" s="22" t="s">
        <v>4265</v>
      </c>
      <c r="D1077" s="22" t="s">
        <v>4356</v>
      </c>
      <c r="E1077" s="18" t="s">
        <v>42</v>
      </c>
      <c r="F1077" s="21" t="s">
        <v>35</v>
      </c>
      <c r="G1077" s="22" t="s">
        <v>920</v>
      </c>
      <c r="H1077" s="22" t="s">
        <v>1367</v>
      </c>
      <c r="I1077" s="22" t="s">
        <v>1288</v>
      </c>
      <c r="J1077" s="18" t="s">
        <v>51</v>
      </c>
    </row>
    <row r="1078" spans="1:10" ht="78.75" customHeight="1">
      <c r="A1078" s="18" t="s">
        <v>4357</v>
      </c>
      <c r="B1078" s="18" t="s">
        <v>655</v>
      </c>
      <c r="C1078" s="19" t="s">
        <v>4265</v>
      </c>
      <c r="D1078" s="19" t="s">
        <v>4358</v>
      </c>
      <c r="E1078" s="18" t="s">
        <v>42</v>
      </c>
      <c r="F1078" s="18" t="s">
        <v>35</v>
      </c>
      <c r="G1078" s="19" t="s">
        <v>920</v>
      </c>
      <c r="H1078" s="19" t="s">
        <v>4359</v>
      </c>
      <c r="I1078" s="19" t="s">
        <v>4360</v>
      </c>
      <c r="J1078" s="18" t="s">
        <v>51</v>
      </c>
    </row>
    <row r="1079" spans="1:10" ht="78.75" customHeight="1">
      <c r="A1079" s="21" t="s">
        <v>4361</v>
      </c>
      <c r="B1079" s="21" t="s">
        <v>655</v>
      </c>
      <c r="C1079" s="22" t="s">
        <v>4265</v>
      </c>
      <c r="D1079" s="22" t="s">
        <v>4362</v>
      </c>
      <c r="E1079" s="18" t="s">
        <v>42</v>
      </c>
      <c r="F1079" s="21" t="s">
        <v>35</v>
      </c>
      <c r="G1079" s="22" t="s">
        <v>920</v>
      </c>
      <c r="H1079" s="22" t="s">
        <v>4363</v>
      </c>
      <c r="I1079" s="22" t="s">
        <v>4364</v>
      </c>
      <c r="J1079" s="18" t="s">
        <v>51</v>
      </c>
    </row>
    <row r="1080" spans="1:10" ht="78.75" customHeight="1">
      <c r="A1080" s="18" t="s">
        <v>4365</v>
      </c>
      <c r="B1080" s="18" t="s">
        <v>655</v>
      </c>
      <c r="C1080" s="19" t="s">
        <v>4265</v>
      </c>
      <c r="D1080" s="19" t="s">
        <v>4366</v>
      </c>
      <c r="E1080" s="18" t="s">
        <v>42</v>
      </c>
      <c r="F1080" s="18" t="s">
        <v>35</v>
      </c>
      <c r="G1080" s="19" t="s">
        <v>920</v>
      </c>
      <c r="H1080" s="19" t="s">
        <v>4367</v>
      </c>
      <c r="I1080" s="19" t="s">
        <v>4368</v>
      </c>
      <c r="J1080" s="18" t="s">
        <v>51</v>
      </c>
    </row>
    <row r="1081" spans="1:10" ht="48.75" customHeight="1">
      <c r="A1081" s="21" t="s">
        <v>4369</v>
      </c>
      <c r="B1081" s="21" t="s">
        <v>655</v>
      </c>
      <c r="C1081" s="22" t="s">
        <v>4265</v>
      </c>
      <c r="D1081" s="22" t="s">
        <v>4370</v>
      </c>
      <c r="E1081" s="18" t="s">
        <v>46</v>
      </c>
      <c r="F1081" s="21" t="s">
        <v>35</v>
      </c>
      <c r="G1081" s="22" t="s">
        <v>823</v>
      </c>
      <c r="H1081" s="22" t="s">
        <v>4371</v>
      </c>
      <c r="I1081" s="22" t="s">
        <v>958</v>
      </c>
      <c r="J1081" s="18" t="s">
        <v>51</v>
      </c>
    </row>
    <row r="1082" spans="1:10" ht="48.75" customHeight="1">
      <c r="A1082" s="18" t="s">
        <v>4372</v>
      </c>
      <c r="B1082" s="18" t="s">
        <v>655</v>
      </c>
      <c r="C1082" s="19" t="s">
        <v>4265</v>
      </c>
      <c r="D1082" s="19" t="s">
        <v>4373</v>
      </c>
      <c r="E1082" s="18" t="s">
        <v>46</v>
      </c>
      <c r="F1082" s="18" t="s">
        <v>35</v>
      </c>
      <c r="G1082" s="19" t="s">
        <v>961</v>
      </c>
      <c r="H1082" s="19" t="s">
        <v>4374</v>
      </c>
      <c r="I1082" s="19" t="s">
        <v>958</v>
      </c>
      <c r="J1082" s="18" t="s">
        <v>51</v>
      </c>
    </row>
    <row r="1083" spans="1:10" ht="48.75" customHeight="1">
      <c r="A1083" s="21" t="s">
        <v>4375</v>
      </c>
      <c r="B1083" s="21" t="s">
        <v>655</v>
      </c>
      <c r="C1083" s="22" t="s">
        <v>4265</v>
      </c>
      <c r="D1083" s="22" t="s">
        <v>4376</v>
      </c>
      <c r="E1083" s="18" t="s">
        <v>46</v>
      </c>
      <c r="F1083" s="21" t="s">
        <v>35</v>
      </c>
      <c r="G1083" s="22" t="s">
        <v>828</v>
      </c>
      <c r="H1083" s="22" t="s">
        <v>4377</v>
      </c>
      <c r="I1083" s="22" t="s">
        <v>958</v>
      </c>
      <c r="J1083" s="18" t="s">
        <v>51</v>
      </c>
    </row>
    <row r="1084" spans="1:10" ht="78.75" customHeight="1">
      <c r="A1084" s="18" t="s">
        <v>4378</v>
      </c>
      <c r="B1084" s="18" t="s">
        <v>655</v>
      </c>
      <c r="C1084" s="19" t="s">
        <v>4265</v>
      </c>
      <c r="D1084" s="19" t="s">
        <v>4379</v>
      </c>
      <c r="E1084" s="18" t="s">
        <v>44</v>
      </c>
      <c r="F1084" s="18" t="s">
        <v>35</v>
      </c>
      <c r="G1084" s="19" t="s">
        <v>920</v>
      </c>
      <c r="H1084" s="19" t="s">
        <v>1364</v>
      </c>
      <c r="I1084" s="19" t="s">
        <v>1284</v>
      </c>
      <c r="J1084" s="18" t="s">
        <v>51</v>
      </c>
    </row>
    <row r="1085" spans="1:10" ht="78.75" customHeight="1">
      <c r="A1085" s="21" t="s">
        <v>4380</v>
      </c>
      <c r="B1085" s="21" t="s">
        <v>655</v>
      </c>
      <c r="C1085" s="22" t="s">
        <v>4265</v>
      </c>
      <c r="D1085" s="22" t="s">
        <v>4381</v>
      </c>
      <c r="E1085" s="18" t="s">
        <v>42</v>
      </c>
      <c r="F1085" s="21" t="s">
        <v>35</v>
      </c>
      <c r="G1085" s="22" t="s">
        <v>920</v>
      </c>
      <c r="H1085" s="22" t="s">
        <v>1367</v>
      </c>
      <c r="I1085" s="22" t="s">
        <v>1288</v>
      </c>
      <c r="J1085" s="18" t="s">
        <v>51</v>
      </c>
    </row>
    <row r="1086" spans="1:10" ht="78.75" customHeight="1">
      <c r="A1086" s="18" t="s">
        <v>4382</v>
      </c>
      <c r="B1086" s="18" t="s">
        <v>659</v>
      </c>
      <c r="C1086" s="19" t="s">
        <v>4265</v>
      </c>
      <c r="D1086" s="19" t="s">
        <v>4383</v>
      </c>
      <c r="E1086" s="18" t="s">
        <v>42</v>
      </c>
      <c r="F1086" s="18" t="s">
        <v>35</v>
      </c>
      <c r="G1086" s="19" t="s">
        <v>920</v>
      </c>
      <c r="H1086" s="19" t="s">
        <v>2723</v>
      </c>
      <c r="I1086" s="19" t="s">
        <v>2724</v>
      </c>
      <c r="J1086" s="18" t="s">
        <v>51</v>
      </c>
    </row>
    <row r="1087" spans="1:10" ht="78.75" customHeight="1">
      <c r="A1087" s="21" t="s">
        <v>4384</v>
      </c>
      <c r="B1087" s="21" t="s">
        <v>659</v>
      </c>
      <c r="C1087" s="22" t="s">
        <v>4265</v>
      </c>
      <c r="D1087" s="22" t="s">
        <v>4385</v>
      </c>
      <c r="E1087" s="18" t="s">
        <v>42</v>
      </c>
      <c r="F1087" s="21" t="s">
        <v>35</v>
      </c>
      <c r="G1087" s="22" t="s">
        <v>920</v>
      </c>
      <c r="H1087" s="22" t="s">
        <v>3778</v>
      </c>
      <c r="I1087" s="22" t="s">
        <v>3779</v>
      </c>
      <c r="J1087" s="18" t="s">
        <v>51</v>
      </c>
    </row>
    <row r="1088" spans="1:10" ht="78.75" customHeight="1">
      <c r="A1088" s="18" t="s">
        <v>4386</v>
      </c>
      <c r="B1088" s="18" t="s">
        <v>659</v>
      </c>
      <c r="C1088" s="19" t="s">
        <v>4265</v>
      </c>
      <c r="D1088" s="19" t="s">
        <v>4387</v>
      </c>
      <c r="E1088" s="18" t="s">
        <v>42</v>
      </c>
      <c r="F1088" s="18" t="s">
        <v>35</v>
      </c>
      <c r="G1088" s="19" t="s">
        <v>920</v>
      </c>
      <c r="H1088" s="19" t="s">
        <v>4388</v>
      </c>
      <c r="I1088" s="19" t="s">
        <v>4389</v>
      </c>
      <c r="J1088" s="18" t="s">
        <v>51</v>
      </c>
    </row>
    <row r="1089" spans="1:10" ht="48.75" customHeight="1">
      <c r="A1089" s="21" t="s">
        <v>4390</v>
      </c>
      <c r="B1089" s="21" t="s">
        <v>659</v>
      </c>
      <c r="C1089" s="22" t="s">
        <v>4265</v>
      </c>
      <c r="D1089" s="22" t="s">
        <v>4391</v>
      </c>
      <c r="E1089" s="18" t="s">
        <v>46</v>
      </c>
      <c r="F1089" s="21" t="s">
        <v>35</v>
      </c>
      <c r="G1089" s="22" t="s">
        <v>823</v>
      </c>
      <c r="H1089" s="22" t="s">
        <v>4392</v>
      </c>
      <c r="I1089" s="22" t="s">
        <v>958</v>
      </c>
      <c r="J1089" s="18" t="s">
        <v>51</v>
      </c>
    </row>
    <row r="1090" spans="1:10" ht="48.75" customHeight="1">
      <c r="A1090" s="18" t="s">
        <v>4393</v>
      </c>
      <c r="B1090" s="18" t="s">
        <v>659</v>
      </c>
      <c r="C1090" s="19" t="s">
        <v>4265</v>
      </c>
      <c r="D1090" s="19" t="s">
        <v>4394</v>
      </c>
      <c r="E1090" s="18" t="s">
        <v>46</v>
      </c>
      <c r="F1090" s="18" t="s">
        <v>35</v>
      </c>
      <c r="G1090" s="19" t="s">
        <v>961</v>
      </c>
      <c r="H1090" s="19" t="s">
        <v>4395</v>
      </c>
      <c r="I1090" s="19" t="s">
        <v>958</v>
      </c>
      <c r="J1090" s="18" t="s">
        <v>51</v>
      </c>
    </row>
    <row r="1091" spans="1:10" ht="48.75" customHeight="1">
      <c r="A1091" s="21" t="s">
        <v>4396</v>
      </c>
      <c r="B1091" s="21" t="s">
        <v>659</v>
      </c>
      <c r="C1091" s="22" t="s">
        <v>4265</v>
      </c>
      <c r="D1091" s="22" t="s">
        <v>4397</v>
      </c>
      <c r="E1091" s="18" t="s">
        <v>46</v>
      </c>
      <c r="F1091" s="21" t="s">
        <v>35</v>
      </c>
      <c r="G1091" s="22" t="s">
        <v>828</v>
      </c>
      <c r="H1091" s="22" t="s">
        <v>4398</v>
      </c>
      <c r="I1091" s="22" t="s">
        <v>958</v>
      </c>
      <c r="J1091" s="18" t="s">
        <v>51</v>
      </c>
    </row>
    <row r="1092" spans="1:10" ht="78.75" customHeight="1">
      <c r="A1092" s="18" t="s">
        <v>4399</v>
      </c>
      <c r="B1092" s="18" t="s">
        <v>659</v>
      </c>
      <c r="C1092" s="19" t="s">
        <v>4265</v>
      </c>
      <c r="D1092" s="19" t="s">
        <v>4400</v>
      </c>
      <c r="E1092" s="18" t="s">
        <v>44</v>
      </c>
      <c r="F1092" s="18" t="s">
        <v>35</v>
      </c>
      <c r="G1092" s="19" t="s">
        <v>920</v>
      </c>
      <c r="H1092" s="19" t="s">
        <v>1364</v>
      </c>
      <c r="I1092" s="19" t="s">
        <v>1284</v>
      </c>
      <c r="J1092" s="18" t="s">
        <v>51</v>
      </c>
    </row>
    <row r="1093" spans="1:10" ht="78.75" customHeight="1">
      <c r="A1093" s="21" t="s">
        <v>4401</v>
      </c>
      <c r="B1093" s="21" t="s">
        <v>659</v>
      </c>
      <c r="C1093" s="22" t="s">
        <v>4265</v>
      </c>
      <c r="D1093" s="22" t="s">
        <v>4402</v>
      </c>
      <c r="E1093" s="18" t="s">
        <v>42</v>
      </c>
      <c r="F1093" s="21" t="s">
        <v>35</v>
      </c>
      <c r="G1093" s="22" t="s">
        <v>920</v>
      </c>
      <c r="H1093" s="22" t="s">
        <v>1367</v>
      </c>
      <c r="I1093" s="22" t="s">
        <v>1288</v>
      </c>
      <c r="J1093" s="18" t="s">
        <v>51</v>
      </c>
    </row>
    <row r="1094" spans="1:10" ht="78.75" customHeight="1">
      <c r="A1094" s="18" t="s">
        <v>4403</v>
      </c>
      <c r="B1094" s="18" t="s">
        <v>663</v>
      </c>
      <c r="C1094" s="19" t="s">
        <v>4265</v>
      </c>
      <c r="D1094" s="19" t="s">
        <v>4404</v>
      </c>
      <c r="E1094" s="18" t="s">
        <v>42</v>
      </c>
      <c r="F1094" s="18" t="s">
        <v>33</v>
      </c>
      <c r="G1094" s="19" t="s">
        <v>920</v>
      </c>
      <c r="H1094" s="19" t="s">
        <v>3181</v>
      </c>
      <c r="I1094" s="19" t="s">
        <v>3182</v>
      </c>
      <c r="J1094" s="18" t="s">
        <v>51</v>
      </c>
    </row>
    <row r="1095" spans="1:10" ht="78.75" customHeight="1">
      <c r="A1095" s="21" t="s">
        <v>4405</v>
      </c>
      <c r="B1095" s="21" t="s">
        <v>663</v>
      </c>
      <c r="C1095" s="22" t="s">
        <v>4265</v>
      </c>
      <c r="D1095" s="22" t="s">
        <v>4406</v>
      </c>
      <c r="E1095" s="18" t="s">
        <v>42</v>
      </c>
      <c r="F1095" s="21" t="s">
        <v>33</v>
      </c>
      <c r="G1095" s="22" t="s">
        <v>920</v>
      </c>
      <c r="H1095" s="22" t="s">
        <v>4407</v>
      </c>
      <c r="I1095" s="22" t="s">
        <v>4408</v>
      </c>
      <c r="J1095" s="18" t="s">
        <v>51</v>
      </c>
    </row>
    <row r="1096" spans="1:10" ht="78.75" customHeight="1">
      <c r="A1096" s="18" t="s">
        <v>4409</v>
      </c>
      <c r="B1096" s="18" t="s">
        <v>663</v>
      </c>
      <c r="C1096" s="19" t="s">
        <v>4265</v>
      </c>
      <c r="D1096" s="19" t="s">
        <v>4410</v>
      </c>
      <c r="E1096" s="18" t="s">
        <v>42</v>
      </c>
      <c r="F1096" s="18" t="s">
        <v>33</v>
      </c>
      <c r="G1096" s="19" t="s">
        <v>920</v>
      </c>
      <c r="H1096" s="19" t="s">
        <v>4411</v>
      </c>
      <c r="I1096" s="19" t="s">
        <v>4412</v>
      </c>
      <c r="J1096" s="18" t="s">
        <v>51</v>
      </c>
    </row>
    <row r="1097" spans="1:10" ht="48.75" customHeight="1">
      <c r="A1097" s="21" t="s">
        <v>4413</v>
      </c>
      <c r="B1097" s="21" t="s">
        <v>663</v>
      </c>
      <c r="C1097" s="22" t="s">
        <v>4265</v>
      </c>
      <c r="D1097" s="22" t="s">
        <v>4414</v>
      </c>
      <c r="E1097" s="18" t="s">
        <v>46</v>
      </c>
      <c r="F1097" s="21" t="s">
        <v>33</v>
      </c>
      <c r="G1097" s="22" t="s">
        <v>823</v>
      </c>
      <c r="H1097" s="22" t="s">
        <v>4415</v>
      </c>
      <c r="I1097" s="22" t="s">
        <v>958</v>
      </c>
      <c r="J1097" s="18" t="s">
        <v>51</v>
      </c>
    </row>
    <row r="1098" spans="1:10" ht="48.75" customHeight="1">
      <c r="A1098" s="18" t="s">
        <v>4416</v>
      </c>
      <c r="B1098" s="18" t="s">
        <v>663</v>
      </c>
      <c r="C1098" s="19" t="s">
        <v>4265</v>
      </c>
      <c r="D1098" s="19" t="s">
        <v>4417</v>
      </c>
      <c r="E1098" s="18" t="s">
        <v>46</v>
      </c>
      <c r="F1098" s="18" t="s">
        <v>33</v>
      </c>
      <c r="G1098" s="19" t="s">
        <v>961</v>
      </c>
      <c r="H1098" s="19" t="s">
        <v>4418</v>
      </c>
      <c r="I1098" s="19" t="s">
        <v>958</v>
      </c>
      <c r="J1098" s="18" t="s">
        <v>51</v>
      </c>
    </row>
    <row r="1099" spans="1:10" ht="48.75" customHeight="1">
      <c r="A1099" s="21" t="s">
        <v>4419</v>
      </c>
      <c r="B1099" s="21" t="s">
        <v>663</v>
      </c>
      <c r="C1099" s="22" t="s">
        <v>4265</v>
      </c>
      <c r="D1099" s="22" t="s">
        <v>4420</v>
      </c>
      <c r="E1099" s="18" t="s">
        <v>46</v>
      </c>
      <c r="F1099" s="21" t="s">
        <v>33</v>
      </c>
      <c r="G1099" s="22" t="s">
        <v>828</v>
      </c>
      <c r="H1099" s="22" t="s">
        <v>4421</v>
      </c>
      <c r="I1099" s="22" t="s">
        <v>958</v>
      </c>
      <c r="J1099" s="18" t="s">
        <v>51</v>
      </c>
    </row>
    <row r="1100" spans="1:10" ht="78.75" customHeight="1">
      <c r="A1100" s="18" t="s">
        <v>4422</v>
      </c>
      <c r="B1100" s="18" t="s">
        <v>663</v>
      </c>
      <c r="C1100" s="19" t="s">
        <v>4265</v>
      </c>
      <c r="D1100" s="19" t="s">
        <v>4423</v>
      </c>
      <c r="E1100" s="18" t="s">
        <v>44</v>
      </c>
      <c r="F1100" s="18" t="s">
        <v>33</v>
      </c>
      <c r="G1100" s="19" t="s">
        <v>920</v>
      </c>
      <c r="H1100" s="19" t="s">
        <v>1364</v>
      </c>
      <c r="I1100" s="19" t="s">
        <v>1284</v>
      </c>
      <c r="J1100" s="18" t="s">
        <v>51</v>
      </c>
    </row>
    <row r="1101" spans="1:10" ht="78.75" customHeight="1">
      <c r="A1101" s="21" t="s">
        <v>4424</v>
      </c>
      <c r="B1101" s="21" t="s">
        <v>663</v>
      </c>
      <c r="C1101" s="22" t="s">
        <v>4265</v>
      </c>
      <c r="D1101" s="22" t="s">
        <v>4425</v>
      </c>
      <c r="E1101" s="18" t="s">
        <v>42</v>
      </c>
      <c r="F1101" s="21" t="s">
        <v>33</v>
      </c>
      <c r="G1101" s="22" t="s">
        <v>920</v>
      </c>
      <c r="H1101" s="22" t="s">
        <v>1367</v>
      </c>
      <c r="I1101" s="22" t="s">
        <v>1288</v>
      </c>
      <c r="J1101" s="18" t="s">
        <v>51</v>
      </c>
    </row>
    <row r="1102" spans="1:10" ht="78.75" customHeight="1">
      <c r="A1102" s="18" t="s">
        <v>4426</v>
      </c>
      <c r="B1102" s="18" t="s">
        <v>667</v>
      </c>
      <c r="C1102" s="19" t="s">
        <v>4265</v>
      </c>
      <c r="D1102" s="19" t="s">
        <v>4427</v>
      </c>
      <c r="E1102" s="18" t="s">
        <v>42</v>
      </c>
      <c r="F1102" s="18" t="s">
        <v>35</v>
      </c>
      <c r="G1102" s="19" t="s">
        <v>920</v>
      </c>
      <c r="H1102" s="19" t="s">
        <v>3194</v>
      </c>
      <c r="I1102" s="19" t="s">
        <v>3195</v>
      </c>
      <c r="J1102" s="18" t="s">
        <v>51</v>
      </c>
    </row>
    <row r="1103" spans="1:10" ht="78.75" customHeight="1">
      <c r="A1103" s="21" t="s">
        <v>4428</v>
      </c>
      <c r="B1103" s="21" t="s">
        <v>667</v>
      </c>
      <c r="C1103" s="22" t="s">
        <v>4265</v>
      </c>
      <c r="D1103" s="22" t="s">
        <v>4429</v>
      </c>
      <c r="E1103" s="18" t="s">
        <v>42</v>
      </c>
      <c r="F1103" s="21" t="s">
        <v>35</v>
      </c>
      <c r="G1103" s="22" t="s">
        <v>920</v>
      </c>
      <c r="H1103" s="22" t="s">
        <v>4430</v>
      </c>
      <c r="I1103" s="22" t="s">
        <v>4431</v>
      </c>
      <c r="J1103" s="18" t="s">
        <v>51</v>
      </c>
    </row>
    <row r="1104" spans="1:10" ht="78.75" customHeight="1">
      <c r="A1104" s="18" t="s">
        <v>4432</v>
      </c>
      <c r="B1104" s="18" t="s">
        <v>667</v>
      </c>
      <c r="C1104" s="19" t="s">
        <v>4265</v>
      </c>
      <c r="D1104" s="19" t="s">
        <v>4433</v>
      </c>
      <c r="E1104" s="18" t="s">
        <v>42</v>
      </c>
      <c r="F1104" s="18" t="s">
        <v>35</v>
      </c>
      <c r="G1104" s="19" t="s">
        <v>920</v>
      </c>
      <c r="H1104" s="19" t="s">
        <v>3707</v>
      </c>
      <c r="I1104" s="19" t="s">
        <v>3708</v>
      </c>
      <c r="J1104" s="18" t="s">
        <v>51</v>
      </c>
    </row>
    <row r="1105" spans="1:10" ht="48.75" customHeight="1">
      <c r="A1105" s="21" t="s">
        <v>4434</v>
      </c>
      <c r="B1105" s="21" t="s">
        <v>667</v>
      </c>
      <c r="C1105" s="22" t="s">
        <v>4265</v>
      </c>
      <c r="D1105" s="22" t="s">
        <v>3875</v>
      </c>
      <c r="E1105" s="18" t="s">
        <v>46</v>
      </c>
      <c r="F1105" s="21" t="s">
        <v>35</v>
      </c>
      <c r="G1105" s="22" t="s">
        <v>823</v>
      </c>
      <c r="H1105" s="22" t="s">
        <v>3876</v>
      </c>
      <c r="I1105" s="22" t="s">
        <v>958</v>
      </c>
      <c r="J1105" s="18" t="s">
        <v>51</v>
      </c>
    </row>
    <row r="1106" spans="1:10" ht="48.75" customHeight="1">
      <c r="A1106" s="18" t="s">
        <v>4435</v>
      </c>
      <c r="B1106" s="18" t="s">
        <v>667</v>
      </c>
      <c r="C1106" s="19" t="s">
        <v>4265</v>
      </c>
      <c r="D1106" s="19" t="s">
        <v>3878</v>
      </c>
      <c r="E1106" s="18" t="s">
        <v>46</v>
      </c>
      <c r="F1106" s="18" t="s">
        <v>35</v>
      </c>
      <c r="G1106" s="19" t="s">
        <v>961</v>
      </c>
      <c r="H1106" s="19" t="s">
        <v>3879</v>
      </c>
      <c r="I1106" s="19" t="s">
        <v>958</v>
      </c>
      <c r="J1106" s="18" t="s">
        <v>51</v>
      </c>
    </row>
    <row r="1107" spans="1:10" ht="48.75" customHeight="1">
      <c r="A1107" s="21" t="s">
        <v>4436</v>
      </c>
      <c r="B1107" s="21" t="s">
        <v>667</v>
      </c>
      <c r="C1107" s="22" t="s">
        <v>4265</v>
      </c>
      <c r="D1107" s="22" t="s">
        <v>3881</v>
      </c>
      <c r="E1107" s="18" t="s">
        <v>46</v>
      </c>
      <c r="F1107" s="21" t="s">
        <v>35</v>
      </c>
      <c r="G1107" s="22" t="s">
        <v>828</v>
      </c>
      <c r="H1107" s="22" t="s">
        <v>3882</v>
      </c>
      <c r="I1107" s="22" t="s">
        <v>958</v>
      </c>
      <c r="J1107" s="18" t="s">
        <v>51</v>
      </c>
    </row>
    <row r="1108" spans="1:10" ht="78.75" customHeight="1">
      <c r="A1108" s="18" t="s">
        <v>4437</v>
      </c>
      <c r="B1108" s="18" t="s">
        <v>667</v>
      </c>
      <c r="C1108" s="19" t="s">
        <v>4265</v>
      </c>
      <c r="D1108" s="19" t="s">
        <v>3884</v>
      </c>
      <c r="E1108" s="18" t="s">
        <v>44</v>
      </c>
      <c r="F1108" s="18" t="s">
        <v>35</v>
      </c>
      <c r="G1108" s="19" t="s">
        <v>920</v>
      </c>
      <c r="H1108" s="19" t="s">
        <v>1364</v>
      </c>
      <c r="I1108" s="19" t="s">
        <v>1284</v>
      </c>
      <c r="J1108" s="18" t="s">
        <v>51</v>
      </c>
    </row>
    <row r="1109" spans="1:10" ht="78.75" customHeight="1">
      <c r="A1109" s="21" t="s">
        <v>4438</v>
      </c>
      <c r="B1109" s="21" t="s">
        <v>667</v>
      </c>
      <c r="C1109" s="22" t="s">
        <v>4265</v>
      </c>
      <c r="D1109" s="22" t="s">
        <v>3886</v>
      </c>
      <c r="E1109" s="18" t="s">
        <v>42</v>
      </c>
      <c r="F1109" s="21" t="s">
        <v>35</v>
      </c>
      <c r="G1109" s="22" t="s">
        <v>920</v>
      </c>
      <c r="H1109" s="22" t="s">
        <v>1367</v>
      </c>
      <c r="I1109" s="22" t="s">
        <v>1288</v>
      </c>
      <c r="J1109" s="18" t="s">
        <v>51</v>
      </c>
    </row>
    <row r="1110" spans="1:10" ht="78.75" customHeight="1">
      <c r="A1110" s="18" t="s">
        <v>4439</v>
      </c>
      <c r="B1110" s="18" t="s">
        <v>671</v>
      </c>
      <c r="C1110" s="19" t="s">
        <v>4265</v>
      </c>
      <c r="D1110" s="19" t="s">
        <v>4440</v>
      </c>
      <c r="E1110" s="18" t="s">
        <v>42</v>
      </c>
      <c r="F1110" s="18" t="s">
        <v>33</v>
      </c>
      <c r="G1110" s="19" t="s">
        <v>920</v>
      </c>
      <c r="H1110" s="19" t="s">
        <v>4441</v>
      </c>
      <c r="I1110" s="19" t="s">
        <v>4442</v>
      </c>
      <c r="J1110" s="18" t="s">
        <v>51</v>
      </c>
    </row>
    <row r="1111" spans="1:10" ht="78.75" customHeight="1">
      <c r="A1111" s="21" t="s">
        <v>4443</v>
      </c>
      <c r="B1111" s="21" t="s">
        <v>671</v>
      </c>
      <c r="C1111" s="22" t="s">
        <v>4265</v>
      </c>
      <c r="D1111" s="22" t="s">
        <v>4444</v>
      </c>
      <c r="E1111" s="18" t="s">
        <v>42</v>
      </c>
      <c r="F1111" s="21" t="s">
        <v>33</v>
      </c>
      <c r="G1111" s="22" t="s">
        <v>920</v>
      </c>
      <c r="H1111" s="22" t="s">
        <v>3991</v>
      </c>
      <c r="I1111" s="22" t="s">
        <v>3992</v>
      </c>
      <c r="J1111" s="18" t="s">
        <v>51</v>
      </c>
    </row>
    <row r="1112" spans="1:10" ht="78.75" customHeight="1">
      <c r="A1112" s="18" t="s">
        <v>4445</v>
      </c>
      <c r="B1112" s="18" t="s">
        <v>671</v>
      </c>
      <c r="C1112" s="19" t="s">
        <v>4265</v>
      </c>
      <c r="D1112" s="19" t="s">
        <v>4446</v>
      </c>
      <c r="E1112" s="18" t="s">
        <v>42</v>
      </c>
      <c r="F1112" s="18" t="s">
        <v>33</v>
      </c>
      <c r="G1112" s="19" t="s">
        <v>920</v>
      </c>
      <c r="H1112" s="19" t="s">
        <v>4447</v>
      </c>
      <c r="I1112" s="19" t="s">
        <v>4448</v>
      </c>
      <c r="J1112" s="18" t="s">
        <v>51</v>
      </c>
    </row>
    <row r="1113" spans="1:10" ht="78.75" customHeight="1">
      <c r="A1113" s="21" t="s">
        <v>4449</v>
      </c>
      <c r="B1113" s="21" t="s">
        <v>671</v>
      </c>
      <c r="C1113" s="22" t="s">
        <v>4265</v>
      </c>
      <c r="D1113" s="22" t="s">
        <v>4450</v>
      </c>
      <c r="E1113" s="18" t="s">
        <v>42</v>
      </c>
      <c r="F1113" s="21" t="s">
        <v>33</v>
      </c>
      <c r="G1113" s="22" t="s">
        <v>920</v>
      </c>
      <c r="H1113" s="22" t="s">
        <v>4451</v>
      </c>
      <c r="I1113" s="22" t="s">
        <v>4452</v>
      </c>
      <c r="J1113" s="18" t="s">
        <v>51</v>
      </c>
    </row>
    <row r="1114" spans="1:10" ht="48.75" customHeight="1">
      <c r="A1114" s="18" t="s">
        <v>4453</v>
      </c>
      <c r="B1114" s="18" t="s">
        <v>671</v>
      </c>
      <c r="C1114" s="19" t="s">
        <v>4265</v>
      </c>
      <c r="D1114" s="19" t="s">
        <v>4454</v>
      </c>
      <c r="E1114" s="18" t="s">
        <v>46</v>
      </c>
      <c r="F1114" s="18" t="s">
        <v>33</v>
      </c>
      <c r="G1114" s="19" t="s">
        <v>823</v>
      </c>
      <c r="H1114" s="19" t="s">
        <v>4455</v>
      </c>
      <c r="I1114" s="19" t="s">
        <v>958</v>
      </c>
      <c r="J1114" s="18" t="s">
        <v>51</v>
      </c>
    </row>
    <row r="1115" spans="1:10" ht="48.75" customHeight="1">
      <c r="A1115" s="21" t="s">
        <v>4456</v>
      </c>
      <c r="B1115" s="21" t="s">
        <v>671</v>
      </c>
      <c r="C1115" s="22" t="s">
        <v>4265</v>
      </c>
      <c r="D1115" s="22" t="s">
        <v>4457</v>
      </c>
      <c r="E1115" s="18" t="s">
        <v>46</v>
      </c>
      <c r="F1115" s="21" t="s">
        <v>33</v>
      </c>
      <c r="G1115" s="22" t="s">
        <v>961</v>
      </c>
      <c r="H1115" s="22" t="s">
        <v>4458</v>
      </c>
      <c r="I1115" s="22" t="s">
        <v>958</v>
      </c>
      <c r="J1115" s="18" t="s">
        <v>51</v>
      </c>
    </row>
    <row r="1116" spans="1:10" ht="48.75" customHeight="1">
      <c r="A1116" s="18" t="s">
        <v>4459</v>
      </c>
      <c r="B1116" s="18" t="s">
        <v>671</v>
      </c>
      <c r="C1116" s="19" t="s">
        <v>4265</v>
      </c>
      <c r="D1116" s="19" t="s">
        <v>4460</v>
      </c>
      <c r="E1116" s="18" t="s">
        <v>46</v>
      </c>
      <c r="F1116" s="18" t="s">
        <v>33</v>
      </c>
      <c r="G1116" s="19" t="s">
        <v>828</v>
      </c>
      <c r="H1116" s="19" t="s">
        <v>4461</v>
      </c>
      <c r="I1116" s="19" t="s">
        <v>958</v>
      </c>
      <c r="J1116" s="18" t="s">
        <v>51</v>
      </c>
    </row>
    <row r="1117" spans="1:10" ht="78.75" customHeight="1">
      <c r="A1117" s="21" t="s">
        <v>4462</v>
      </c>
      <c r="B1117" s="21" t="s">
        <v>671</v>
      </c>
      <c r="C1117" s="22" t="s">
        <v>4265</v>
      </c>
      <c r="D1117" s="22" t="s">
        <v>4463</v>
      </c>
      <c r="E1117" s="18" t="s">
        <v>44</v>
      </c>
      <c r="F1117" s="21" t="s">
        <v>33</v>
      </c>
      <c r="G1117" s="22" t="s">
        <v>920</v>
      </c>
      <c r="H1117" s="22" t="s">
        <v>1364</v>
      </c>
      <c r="I1117" s="22" t="s">
        <v>1284</v>
      </c>
      <c r="J1117" s="18" t="s">
        <v>51</v>
      </c>
    </row>
    <row r="1118" spans="1:10" ht="78.75" customHeight="1">
      <c r="A1118" s="18" t="s">
        <v>4464</v>
      </c>
      <c r="B1118" s="18" t="s">
        <v>671</v>
      </c>
      <c r="C1118" s="19" t="s">
        <v>4265</v>
      </c>
      <c r="D1118" s="19" t="s">
        <v>4465</v>
      </c>
      <c r="E1118" s="18" t="s">
        <v>42</v>
      </c>
      <c r="F1118" s="18" t="s">
        <v>33</v>
      </c>
      <c r="G1118" s="19" t="s">
        <v>920</v>
      </c>
      <c r="H1118" s="19" t="s">
        <v>1367</v>
      </c>
      <c r="I1118" s="19" t="s">
        <v>1288</v>
      </c>
      <c r="J1118" s="18" t="s">
        <v>51</v>
      </c>
    </row>
    <row r="1119" spans="1:10" ht="78.75" customHeight="1">
      <c r="A1119" s="21" t="s">
        <v>4466</v>
      </c>
      <c r="B1119" s="21" t="s">
        <v>675</v>
      </c>
      <c r="C1119" s="22" t="s">
        <v>4265</v>
      </c>
      <c r="D1119" s="22" t="s">
        <v>4467</v>
      </c>
      <c r="E1119" s="18" t="s">
        <v>42</v>
      </c>
      <c r="F1119" s="21" t="s">
        <v>37</v>
      </c>
      <c r="G1119" s="22" t="s">
        <v>920</v>
      </c>
      <c r="H1119" s="22" t="s">
        <v>3828</v>
      </c>
      <c r="I1119" s="22" t="s">
        <v>3829</v>
      </c>
      <c r="J1119" s="18" t="s">
        <v>51</v>
      </c>
    </row>
    <row r="1120" spans="1:10" ht="78.75" customHeight="1">
      <c r="A1120" s="18" t="s">
        <v>4468</v>
      </c>
      <c r="B1120" s="18" t="s">
        <v>675</v>
      </c>
      <c r="C1120" s="19" t="s">
        <v>4265</v>
      </c>
      <c r="D1120" s="19" t="s">
        <v>4469</v>
      </c>
      <c r="E1120" s="18" t="s">
        <v>42</v>
      </c>
      <c r="F1120" s="18" t="s">
        <v>37</v>
      </c>
      <c r="G1120" s="19" t="s">
        <v>920</v>
      </c>
      <c r="H1120" s="19" t="s">
        <v>4470</v>
      </c>
      <c r="I1120" s="19" t="s">
        <v>4471</v>
      </c>
      <c r="J1120" s="18" t="s">
        <v>51</v>
      </c>
    </row>
    <row r="1121" spans="1:10" ht="78.75" customHeight="1">
      <c r="A1121" s="21" t="s">
        <v>4472</v>
      </c>
      <c r="B1121" s="21" t="s">
        <v>675</v>
      </c>
      <c r="C1121" s="22" t="s">
        <v>4265</v>
      </c>
      <c r="D1121" s="22" t="s">
        <v>4473</v>
      </c>
      <c r="E1121" s="18" t="s">
        <v>42</v>
      </c>
      <c r="F1121" s="21" t="s">
        <v>37</v>
      </c>
      <c r="G1121" s="22" t="s">
        <v>920</v>
      </c>
      <c r="H1121" s="22" t="s">
        <v>4474</v>
      </c>
      <c r="I1121" s="22" t="s">
        <v>4475</v>
      </c>
      <c r="J1121" s="18" t="s">
        <v>51</v>
      </c>
    </row>
    <row r="1122" spans="1:10" ht="48.75" customHeight="1">
      <c r="A1122" s="18" t="s">
        <v>4476</v>
      </c>
      <c r="B1122" s="18" t="s">
        <v>675</v>
      </c>
      <c r="C1122" s="19" t="s">
        <v>4265</v>
      </c>
      <c r="D1122" s="19" t="s">
        <v>4477</v>
      </c>
      <c r="E1122" s="18" t="s">
        <v>46</v>
      </c>
      <c r="F1122" s="18" t="s">
        <v>37</v>
      </c>
      <c r="G1122" s="19" t="s">
        <v>823</v>
      </c>
      <c r="H1122" s="19" t="s">
        <v>4478</v>
      </c>
      <c r="I1122" s="19" t="s">
        <v>958</v>
      </c>
      <c r="J1122" s="18" t="s">
        <v>51</v>
      </c>
    </row>
    <row r="1123" spans="1:10" ht="48.75" customHeight="1">
      <c r="A1123" s="21" t="s">
        <v>4479</v>
      </c>
      <c r="B1123" s="21" t="s">
        <v>675</v>
      </c>
      <c r="C1123" s="22" t="s">
        <v>4265</v>
      </c>
      <c r="D1123" s="22" t="s">
        <v>4480</v>
      </c>
      <c r="E1123" s="18" t="s">
        <v>46</v>
      </c>
      <c r="F1123" s="21" t="s">
        <v>37</v>
      </c>
      <c r="G1123" s="22" t="s">
        <v>961</v>
      </c>
      <c r="H1123" s="22" t="s">
        <v>4481</v>
      </c>
      <c r="I1123" s="22" t="s">
        <v>958</v>
      </c>
      <c r="J1123" s="18" t="s">
        <v>51</v>
      </c>
    </row>
    <row r="1124" spans="1:10" ht="48.75" customHeight="1">
      <c r="A1124" s="18" t="s">
        <v>4482</v>
      </c>
      <c r="B1124" s="18" t="s">
        <v>675</v>
      </c>
      <c r="C1124" s="19" t="s">
        <v>4265</v>
      </c>
      <c r="D1124" s="19" t="s">
        <v>4483</v>
      </c>
      <c r="E1124" s="18" t="s">
        <v>46</v>
      </c>
      <c r="F1124" s="18" t="s">
        <v>37</v>
      </c>
      <c r="G1124" s="19" t="s">
        <v>828</v>
      </c>
      <c r="H1124" s="19" t="s">
        <v>4484</v>
      </c>
      <c r="I1124" s="19" t="s">
        <v>958</v>
      </c>
      <c r="J1124" s="18" t="s">
        <v>51</v>
      </c>
    </row>
    <row r="1125" spans="1:10" ht="78.75" customHeight="1">
      <c r="A1125" s="21" t="s">
        <v>4485</v>
      </c>
      <c r="B1125" s="21" t="s">
        <v>675</v>
      </c>
      <c r="C1125" s="22" t="s">
        <v>4265</v>
      </c>
      <c r="D1125" s="22" t="s">
        <v>4486</v>
      </c>
      <c r="E1125" s="18" t="s">
        <v>44</v>
      </c>
      <c r="F1125" s="21" t="s">
        <v>37</v>
      </c>
      <c r="G1125" s="22" t="s">
        <v>920</v>
      </c>
      <c r="H1125" s="22" t="s">
        <v>1364</v>
      </c>
      <c r="I1125" s="22" t="s">
        <v>1284</v>
      </c>
      <c r="J1125" s="18" t="s">
        <v>51</v>
      </c>
    </row>
    <row r="1126" spans="1:10" ht="78.75" customHeight="1">
      <c r="A1126" s="18" t="s">
        <v>4487</v>
      </c>
      <c r="B1126" s="18" t="s">
        <v>675</v>
      </c>
      <c r="C1126" s="19" t="s">
        <v>4265</v>
      </c>
      <c r="D1126" s="19" t="s">
        <v>4488</v>
      </c>
      <c r="E1126" s="18" t="s">
        <v>42</v>
      </c>
      <c r="F1126" s="18" t="s">
        <v>37</v>
      </c>
      <c r="G1126" s="19" t="s">
        <v>920</v>
      </c>
      <c r="H1126" s="19" t="s">
        <v>1367</v>
      </c>
      <c r="I1126" s="19" t="s">
        <v>1288</v>
      </c>
      <c r="J1126" s="18" t="s">
        <v>51</v>
      </c>
    </row>
    <row r="1127" spans="1:10" ht="78.75" customHeight="1">
      <c r="A1127" s="21" t="s">
        <v>4489</v>
      </c>
      <c r="B1127" s="21" t="s">
        <v>679</v>
      </c>
      <c r="C1127" s="22" t="s">
        <v>4265</v>
      </c>
      <c r="D1127" s="22" t="s">
        <v>4490</v>
      </c>
      <c r="E1127" s="18" t="s">
        <v>42</v>
      </c>
      <c r="F1127" s="21" t="s">
        <v>35</v>
      </c>
      <c r="G1127" s="22" t="s">
        <v>920</v>
      </c>
      <c r="H1127" s="22" t="s">
        <v>4491</v>
      </c>
      <c r="I1127" s="22" t="s">
        <v>4492</v>
      </c>
      <c r="J1127" s="18" t="s">
        <v>51</v>
      </c>
    </row>
    <row r="1128" spans="1:10" ht="78.75" customHeight="1">
      <c r="A1128" s="18" t="s">
        <v>4493</v>
      </c>
      <c r="B1128" s="18" t="s">
        <v>679</v>
      </c>
      <c r="C1128" s="19" t="s">
        <v>4265</v>
      </c>
      <c r="D1128" s="19" t="s">
        <v>4494</v>
      </c>
      <c r="E1128" s="18" t="s">
        <v>42</v>
      </c>
      <c r="F1128" s="18" t="s">
        <v>35</v>
      </c>
      <c r="G1128" s="19" t="s">
        <v>920</v>
      </c>
      <c r="H1128" s="19" t="s">
        <v>4495</v>
      </c>
      <c r="I1128" s="19" t="s">
        <v>4496</v>
      </c>
      <c r="J1128" s="18" t="s">
        <v>51</v>
      </c>
    </row>
    <row r="1129" spans="1:10" ht="78.75" customHeight="1">
      <c r="A1129" s="21" t="s">
        <v>4497</v>
      </c>
      <c r="B1129" s="21" t="s">
        <v>679</v>
      </c>
      <c r="C1129" s="22" t="s">
        <v>4265</v>
      </c>
      <c r="D1129" s="22" t="s">
        <v>4498</v>
      </c>
      <c r="E1129" s="18" t="s">
        <v>42</v>
      </c>
      <c r="F1129" s="21" t="s">
        <v>35</v>
      </c>
      <c r="G1129" s="22" t="s">
        <v>920</v>
      </c>
      <c r="H1129" s="22" t="s">
        <v>4499</v>
      </c>
      <c r="I1129" s="22" t="s">
        <v>4500</v>
      </c>
      <c r="J1129" s="18" t="s">
        <v>51</v>
      </c>
    </row>
    <row r="1130" spans="1:10" ht="48.75" customHeight="1">
      <c r="A1130" s="18" t="s">
        <v>4501</v>
      </c>
      <c r="B1130" s="18" t="s">
        <v>679</v>
      </c>
      <c r="C1130" s="19" t="s">
        <v>4265</v>
      </c>
      <c r="D1130" s="19" t="s">
        <v>4502</v>
      </c>
      <c r="E1130" s="18" t="s">
        <v>46</v>
      </c>
      <c r="F1130" s="18" t="s">
        <v>35</v>
      </c>
      <c r="G1130" s="19" t="s">
        <v>823</v>
      </c>
      <c r="H1130" s="19" t="s">
        <v>4503</v>
      </c>
      <c r="I1130" s="19" t="s">
        <v>958</v>
      </c>
      <c r="J1130" s="18" t="s">
        <v>51</v>
      </c>
    </row>
    <row r="1131" spans="1:10" ht="48.75" customHeight="1">
      <c r="A1131" s="21" t="s">
        <v>4504</v>
      </c>
      <c r="B1131" s="21" t="s">
        <v>679</v>
      </c>
      <c r="C1131" s="22" t="s">
        <v>4265</v>
      </c>
      <c r="D1131" s="22" t="s">
        <v>4505</v>
      </c>
      <c r="E1131" s="18" t="s">
        <v>46</v>
      </c>
      <c r="F1131" s="21" t="s">
        <v>35</v>
      </c>
      <c r="G1131" s="22" t="s">
        <v>961</v>
      </c>
      <c r="H1131" s="22" t="s">
        <v>4506</v>
      </c>
      <c r="I1131" s="22" t="s">
        <v>958</v>
      </c>
      <c r="J1131" s="18" t="s">
        <v>51</v>
      </c>
    </row>
    <row r="1132" spans="1:10" ht="48.75" customHeight="1">
      <c r="A1132" s="18" t="s">
        <v>4507</v>
      </c>
      <c r="B1132" s="18" t="s">
        <v>679</v>
      </c>
      <c r="C1132" s="19" t="s">
        <v>4265</v>
      </c>
      <c r="D1132" s="19" t="s">
        <v>4508</v>
      </c>
      <c r="E1132" s="18" t="s">
        <v>46</v>
      </c>
      <c r="F1132" s="18" t="s">
        <v>35</v>
      </c>
      <c r="G1132" s="19" t="s">
        <v>828</v>
      </c>
      <c r="H1132" s="19" t="s">
        <v>4509</v>
      </c>
      <c r="I1132" s="19" t="s">
        <v>958</v>
      </c>
      <c r="J1132" s="18" t="s">
        <v>51</v>
      </c>
    </row>
    <row r="1133" spans="1:10" ht="78.75" customHeight="1">
      <c r="A1133" s="21" t="s">
        <v>4510</v>
      </c>
      <c r="B1133" s="21" t="s">
        <v>679</v>
      </c>
      <c r="C1133" s="22" t="s">
        <v>4265</v>
      </c>
      <c r="D1133" s="22" t="s">
        <v>4511</v>
      </c>
      <c r="E1133" s="18" t="s">
        <v>44</v>
      </c>
      <c r="F1133" s="21" t="s">
        <v>35</v>
      </c>
      <c r="G1133" s="22" t="s">
        <v>920</v>
      </c>
      <c r="H1133" s="22" t="s">
        <v>1364</v>
      </c>
      <c r="I1133" s="22" t="s">
        <v>1284</v>
      </c>
      <c r="J1133" s="18" t="s">
        <v>51</v>
      </c>
    </row>
    <row r="1134" spans="1:10" ht="78.75" customHeight="1">
      <c r="A1134" s="18" t="s">
        <v>4512</v>
      </c>
      <c r="B1134" s="18" t="s">
        <v>679</v>
      </c>
      <c r="C1134" s="19" t="s">
        <v>4265</v>
      </c>
      <c r="D1134" s="19" t="s">
        <v>4513</v>
      </c>
      <c r="E1134" s="18" t="s">
        <v>42</v>
      </c>
      <c r="F1134" s="18" t="s">
        <v>35</v>
      </c>
      <c r="G1134" s="19" t="s">
        <v>920</v>
      </c>
      <c r="H1134" s="19" t="s">
        <v>1367</v>
      </c>
      <c r="I1134" s="19" t="s">
        <v>1288</v>
      </c>
      <c r="J1134" s="18" t="s">
        <v>51</v>
      </c>
    </row>
    <row r="1135" spans="1:10" ht="78.75" customHeight="1">
      <c r="A1135" s="21" t="s">
        <v>4514</v>
      </c>
      <c r="B1135" s="21" t="s">
        <v>683</v>
      </c>
      <c r="C1135" s="22" t="s">
        <v>4265</v>
      </c>
      <c r="D1135" s="22" t="s">
        <v>4515</v>
      </c>
      <c r="E1135" s="18" t="s">
        <v>42</v>
      </c>
      <c r="F1135" s="21" t="s">
        <v>37</v>
      </c>
      <c r="G1135" s="22" t="s">
        <v>920</v>
      </c>
      <c r="H1135" s="22" t="s">
        <v>4516</v>
      </c>
      <c r="I1135" s="22" t="s">
        <v>4517</v>
      </c>
      <c r="J1135" s="18" t="s">
        <v>51</v>
      </c>
    </row>
    <row r="1136" spans="1:10" ht="78.75" customHeight="1">
      <c r="A1136" s="18" t="s">
        <v>4518</v>
      </c>
      <c r="B1136" s="18" t="s">
        <v>683</v>
      </c>
      <c r="C1136" s="19" t="s">
        <v>4265</v>
      </c>
      <c r="D1136" s="19" t="s">
        <v>4519</v>
      </c>
      <c r="E1136" s="18" t="s">
        <v>42</v>
      </c>
      <c r="F1136" s="18" t="s">
        <v>37</v>
      </c>
      <c r="G1136" s="19" t="s">
        <v>920</v>
      </c>
      <c r="H1136" s="19" t="s">
        <v>2364</v>
      </c>
      <c r="I1136" s="19" t="s">
        <v>2365</v>
      </c>
      <c r="J1136" s="18" t="s">
        <v>51</v>
      </c>
    </row>
    <row r="1137" spans="1:10" ht="78.75" customHeight="1">
      <c r="A1137" s="21" t="s">
        <v>4520</v>
      </c>
      <c r="B1137" s="21" t="s">
        <v>683</v>
      </c>
      <c r="C1137" s="22" t="s">
        <v>4265</v>
      </c>
      <c r="D1137" s="22" t="s">
        <v>4521</v>
      </c>
      <c r="E1137" s="18" t="s">
        <v>42</v>
      </c>
      <c r="F1137" s="21" t="s">
        <v>37</v>
      </c>
      <c r="G1137" s="22" t="s">
        <v>920</v>
      </c>
      <c r="H1137" s="22" t="s">
        <v>4522</v>
      </c>
      <c r="I1137" s="22" t="s">
        <v>4523</v>
      </c>
      <c r="J1137" s="18" t="s">
        <v>51</v>
      </c>
    </row>
    <row r="1138" spans="1:10" ht="48.75" customHeight="1">
      <c r="A1138" s="18" t="s">
        <v>4524</v>
      </c>
      <c r="B1138" s="18" t="s">
        <v>683</v>
      </c>
      <c r="C1138" s="19" t="s">
        <v>4265</v>
      </c>
      <c r="D1138" s="19" t="s">
        <v>4525</v>
      </c>
      <c r="E1138" s="18" t="s">
        <v>46</v>
      </c>
      <c r="F1138" s="18" t="s">
        <v>37</v>
      </c>
      <c r="G1138" s="19" t="s">
        <v>823</v>
      </c>
      <c r="H1138" s="19" t="s">
        <v>4526</v>
      </c>
      <c r="I1138" s="19" t="s">
        <v>958</v>
      </c>
      <c r="J1138" s="18" t="s">
        <v>51</v>
      </c>
    </row>
    <row r="1139" spans="1:10" ht="48.75" customHeight="1">
      <c r="A1139" s="21" t="s">
        <v>4527</v>
      </c>
      <c r="B1139" s="21" t="s">
        <v>683</v>
      </c>
      <c r="C1139" s="22" t="s">
        <v>4265</v>
      </c>
      <c r="D1139" s="22" t="s">
        <v>4528</v>
      </c>
      <c r="E1139" s="18" t="s">
        <v>46</v>
      </c>
      <c r="F1139" s="21" t="s">
        <v>37</v>
      </c>
      <c r="G1139" s="22" t="s">
        <v>961</v>
      </c>
      <c r="H1139" s="22" t="s">
        <v>4529</v>
      </c>
      <c r="I1139" s="22" t="s">
        <v>958</v>
      </c>
      <c r="J1139" s="18" t="s">
        <v>51</v>
      </c>
    </row>
    <row r="1140" spans="1:10" ht="48.75" customHeight="1">
      <c r="A1140" s="18" t="s">
        <v>4530</v>
      </c>
      <c r="B1140" s="18" t="s">
        <v>683</v>
      </c>
      <c r="C1140" s="19" t="s">
        <v>4265</v>
      </c>
      <c r="D1140" s="19" t="s">
        <v>4531</v>
      </c>
      <c r="E1140" s="18" t="s">
        <v>46</v>
      </c>
      <c r="F1140" s="18" t="s">
        <v>37</v>
      </c>
      <c r="G1140" s="19" t="s">
        <v>828</v>
      </c>
      <c r="H1140" s="19" t="s">
        <v>4532</v>
      </c>
      <c r="I1140" s="19" t="s">
        <v>958</v>
      </c>
      <c r="J1140" s="18" t="s">
        <v>51</v>
      </c>
    </row>
    <row r="1141" spans="1:10" ht="78.75" customHeight="1">
      <c r="A1141" s="21" t="s">
        <v>4533</v>
      </c>
      <c r="B1141" s="21" t="s">
        <v>683</v>
      </c>
      <c r="C1141" s="22" t="s">
        <v>4265</v>
      </c>
      <c r="D1141" s="22" t="s">
        <v>4534</v>
      </c>
      <c r="E1141" s="18" t="s">
        <v>44</v>
      </c>
      <c r="F1141" s="21" t="s">
        <v>37</v>
      </c>
      <c r="G1141" s="22" t="s">
        <v>920</v>
      </c>
      <c r="H1141" s="22" t="s">
        <v>1364</v>
      </c>
      <c r="I1141" s="22" t="s">
        <v>1284</v>
      </c>
      <c r="J1141" s="18" t="s">
        <v>51</v>
      </c>
    </row>
    <row r="1142" spans="1:10" ht="78.75" customHeight="1">
      <c r="A1142" s="18" t="s">
        <v>4535</v>
      </c>
      <c r="B1142" s="18" t="s">
        <v>683</v>
      </c>
      <c r="C1142" s="19" t="s">
        <v>4265</v>
      </c>
      <c r="D1142" s="19" t="s">
        <v>4536</v>
      </c>
      <c r="E1142" s="18" t="s">
        <v>42</v>
      </c>
      <c r="F1142" s="18" t="s">
        <v>37</v>
      </c>
      <c r="G1142" s="19" t="s">
        <v>920</v>
      </c>
      <c r="H1142" s="19" t="s">
        <v>1367</v>
      </c>
      <c r="I1142" s="19" t="s">
        <v>1288</v>
      </c>
      <c r="J1142" s="18" t="s">
        <v>51</v>
      </c>
    </row>
    <row r="1143" spans="1:10" ht="78.75" customHeight="1">
      <c r="A1143" s="21" t="s">
        <v>4537</v>
      </c>
      <c r="B1143" s="21" t="s">
        <v>687</v>
      </c>
      <c r="C1143" s="22" t="s">
        <v>4265</v>
      </c>
      <c r="D1143" s="22" t="s">
        <v>4538</v>
      </c>
      <c r="E1143" s="18" t="s">
        <v>42</v>
      </c>
      <c r="F1143" s="21" t="s">
        <v>37</v>
      </c>
      <c r="G1143" s="22" t="s">
        <v>920</v>
      </c>
      <c r="H1143" s="22" t="s">
        <v>4539</v>
      </c>
      <c r="I1143" s="22" t="s">
        <v>4540</v>
      </c>
      <c r="J1143" s="18" t="s">
        <v>51</v>
      </c>
    </row>
    <row r="1144" spans="1:10" ht="78.75" customHeight="1">
      <c r="A1144" s="18" t="s">
        <v>4541</v>
      </c>
      <c r="B1144" s="18" t="s">
        <v>687</v>
      </c>
      <c r="C1144" s="19" t="s">
        <v>4265</v>
      </c>
      <c r="D1144" s="19" t="s">
        <v>4542</v>
      </c>
      <c r="E1144" s="18" t="s">
        <v>42</v>
      </c>
      <c r="F1144" s="18" t="s">
        <v>37</v>
      </c>
      <c r="G1144" s="19" t="s">
        <v>920</v>
      </c>
      <c r="H1144" s="19" t="s">
        <v>4543</v>
      </c>
      <c r="I1144" s="19" t="s">
        <v>4544</v>
      </c>
      <c r="J1144" s="18" t="s">
        <v>51</v>
      </c>
    </row>
    <row r="1145" spans="1:10" ht="78.75" customHeight="1">
      <c r="A1145" s="21" t="s">
        <v>4545</v>
      </c>
      <c r="B1145" s="21" t="s">
        <v>687</v>
      </c>
      <c r="C1145" s="22" t="s">
        <v>4265</v>
      </c>
      <c r="D1145" s="22" t="s">
        <v>4546</v>
      </c>
      <c r="E1145" s="18" t="s">
        <v>42</v>
      </c>
      <c r="F1145" s="21" t="s">
        <v>37</v>
      </c>
      <c r="G1145" s="22" t="s">
        <v>920</v>
      </c>
      <c r="H1145" s="22" t="s">
        <v>3328</v>
      </c>
      <c r="I1145" s="22" t="s">
        <v>3329</v>
      </c>
      <c r="J1145" s="18" t="s">
        <v>51</v>
      </c>
    </row>
    <row r="1146" spans="1:10" ht="48.75" customHeight="1">
      <c r="A1146" s="18" t="s">
        <v>4547</v>
      </c>
      <c r="B1146" s="18" t="s">
        <v>687</v>
      </c>
      <c r="C1146" s="19" t="s">
        <v>4265</v>
      </c>
      <c r="D1146" s="19" t="s">
        <v>4548</v>
      </c>
      <c r="E1146" s="18" t="s">
        <v>46</v>
      </c>
      <c r="F1146" s="18" t="s">
        <v>37</v>
      </c>
      <c r="G1146" s="19" t="s">
        <v>823</v>
      </c>
      <c r="H1146" s="19" t="s">
        <v>4549</v>
      </c>
      <c r="I1146" s="19" t="s">
        <v>958</v>
      </c>
      <c r="J1146" s="18" t="s">
        <v>51</v>
      </c>
    </row>
    <row r="1147" spans="1:10" ht="48.75" customHeight="1">
      <c r="A1147" s="21" t="s">
        <v>4550</v>
      </c>
      <c r="B1147" s="21" t="s">
        <v>687</v>
      </c>
      <c r="C1147" s="22" t="s">
        <v>4265</v>
      </c>
      <c r="D1147" s="22" t="s">
        <v>4551</v>
      </c>
      <c r="E1147" s="18" t="s">
        <v>46</v>
      </c>
      <c r="F1147" s="21" t="s">
        <v>37</v>
      </c>
      <c r="G1147" s="22" t="s">
        <v>961</v>
      </c>
      <c r="H1147" s="22" t="s">
        <v>4552</v>
      </c>
      <c r="I1147" s="22" t="s">
        <v>958</v>
      </c>
      <c r="J1147" s="18" t="s">
        <v>51</v>
      </c>
    </row>
    <row r="1148" spans="1:10" ht="48.75" customHeight="1">
      <c r="A1148" s="18" t="s">
        <v>4553</v>
      </c>
      <c r="B1148" s="18" t="s">
        <v>687</v>
      </c>
      <c r="C1148" s="19" t="s">
        <v>4265</v>
      </c>
      <c r="D1148" s="19" t="s">
        <v>4554</v>
      </c>
      <c r="E1148" s="18" t="s">
        <v>46</v>
      </c>
      <c r="F1148" s="18" t="s">
        <v>37</v>
      </c>
      <c r="G1148" s="19" t="s">
        <v>828</v>
      </c>
      <c r="H1148" s="19" t="s">
        <v>4555</v>
      </c>
      <c r="I1148" s="19" t="s">
        <v>958</v>
      </c>
      <c r="J1148" s="18" t="s">
        <v>51</v>
      </c>
    </row>
    <row r="1149" spans="1:10" ht="78.75" customHeight="1">
      <c r="A1149" s="21" t="s">
        <v>4556</v>
      </c>
      <c r="B1149" s="21" t="s">
        <v>687</v>
      </c>
      <c r="C1149" s="22" t="s">
        <v>4265</v>
      </c>
      <c r="D1149" s="22" t="s">
        <v>4557</v>
      </c>
      <c r="E1149" s="18" t="s">
        <v>44</v>
      </c>
      <c r="F1149" s="21" t="s">
        <v>37</v>
      </c>
      <c r="G1149" s="22" t="s">
        <v>920</v>
      </c>
      <c r="H1149" s="22" t="s">
        <v>1364</v>
      </c>
      <c r="I1149" s="22" t="s">
        <v>1284</v>
      </c>
      <c r="J1149" s="18" t="s">
        <v>51</v>
      </c>
    </row>
    <row r="1150" spans="1:10" ht="78.75" customHeight="1">
      <c r="A1150" s="18" t="s">
        <v>4558</v>
      </c>
      <c r="B1150" s="18" t="s">
        <v>687</v>
      </c>
      <c r="C1150" s="19" t="s">
        <v>4265</v>
      </c>
      <c r="D1150" s="19" t="s">
        <v>4559</v>
      </c>
      <c r="E1150" s="18" t="s">
        <v>42</v>
      </c>
      <c r="F1150" s="18" t="s">
        <v>37</v>
      </c>
      <c r="G1150" s="19" t="s">
        <v>920</v>
      </c>
      <c r="H1150" s="19" t="s">
        <v>1367</v>
      </c>
      <c r="I1150" s="19" t="s">
        <v>1288</v>
      </c>
      <c r="J1150" s="18" t="s">
        <v>51</v>
      </c>
    </row>
    <row r="1151" spans="1:10" ht="78.75" customHeight="1">
      <c r="A1151" s="21" t="s">
        <v>4560</v>
      </c>
      <c r="B1151" s="21" t="s">
        <v>691</v>
      </c>
      <c r="C1151" s="22" t="s">
        <v>4265</v>
      </c>
      <c r="D1151" s="22" t="s">
        <v>4561</v>
      </c>
      <c r="E1151" s="18" t="s">
        <v>42</v>
      </c>
      <c r="F1151" s="21" t="s">
        <v>33</v>
      </c>
      <c r="G1151" s="22" t="s">
        <v>4308</v>
      </c>
      <c r="H1151" s="22" t="s">
        <v>4562</v>
      </c>
      <c r="I1151" s="22" t="s">
        <v>4563</v>
      </c>
      <c r="J1151" s="18" t="s">
        <v>51</v>
      </c>
    </row>
    <row r="1152" spans="1:10" ht="63.75" customHeight="1">
      <c r="A1152" s="18" t="s">
        <v>4564</v>
      </c>
      <c r="B1152" s="18" t="s">
        <v>691</v>
      </c>
      <c r="C1152" s="19" t="s">
        <v>4265</v>
      </c>
      <c r="D1152" s="19" t="s">
        <v>4565</v>
      </c>
      <c r="E1152" s="18" t="s">
        <v>42</v>
      </c>
      <c r="F1152" s="18" t="s">
        <v>33</v>
      </c>
      <c r="G1152" s="19" t="s">
        <v>4308</v>
      </c>
      <c r="H1152" s="19" t="s">
        <v>4566</v>
      </c>
      <c r="I1152" s="19" t="s">
        <v>1673</v>
      </c>
      <c r="J1152" s="18" t="s">
        <v>51</v>
      </c>
    </row>
    <row r="1153" spans="1:10" ht="78.75" customHeight="1">
      <c r="A1153" s="21" t="s">
        <v>4567</v>
      </c>
      <c r="B1153" s="21" t="s">
        <v>691</v>
      </c>
      <c r="C1153" s="22" t="s">
        <v>4265</v>
      </c>
      <c r="D1153" s="22" t="s">
        <v>4568</v>
      </c>
      <c r="E1153" s="18" t="s">
        <v>42</v>
      </c>
      <c r="F1153" s="21" t="s">
        <v>33</v>
      </c>
      <c r="G1153" s="22" t="s">
        <v>4308</v>
      </c>
      <c r="H1153" s="22" t="s">
        <v>4569</v>
      </c>
      <c r="I1153" s="22" t="s">
        <v>3779</v>
      </c>
      <c r="J1153" s="18" t="s">
        <v>51</v>
      </c>
    </row>
    <row r="1154" spans="1:10" ht="78.75" customHeight="1">
      <c r="A1154" s="18" t="s">
        <v>4570</v>
      </c>
      <c r="B1154" s="18" t="s">
        <v>691</v>
      </c>
      <c r="C1154" s="19" t="s">
        <v>4265</v>
      </c>
      <c r="D1154" s="19" t="s">
        <v>4571</v>
      </c>
      <c r="E1154" s="18" t="s">
        <v>42</v>
      </c>
      <c r="F1154" s="18" t="s">
        <v>33</v>
      </c>
      <c r="G1154" s="19" t="s">
        <v>4308</v>
      </c>
      <c r="H1154" s="19" t="s">
        <v>4572</v>
      </c>
      <c r="I1154" s="19" t="s">
        <v>4573</v>
      </c>
      <c r="J1154" s="18" t="s">
        <v>51</v>
      </c>
    </row>
    <row r="1155" spans="1:10" ht="63.75" customHeight="1">
      <c r="A1155" s="21" t="s">
        <v>4574</v>
      </c>
      <c r="B1155" s="21" t="s">
        <v>691</v>
      </c>
      <c r="C1155" s="22" t="s">
        <v>4265</v>
      </c>
      <c r="D1155" s="22" t="s">
        <v>4575</v>
      </c>
      <c r="E1155" s="18" t="s">
        <v>46</v>
      </c>
      <c r="F1155" s="21" t="s">
        <v>33</v>
      </c>
      <c r="G1155" s="22" t="s">
        <v>961</v>
      </c>
      <c r="H1155" s="22" t="s">
        <v>4576</v>
      </c>
      <c r="I1155" s="22" t="s">
        <v>4324</v>
      </c>
      <c r="J1155" s="18" t="s">
        <v>51</v>
      </c>
    </row>
    <row r="1156" spans="1:10" ht="63.75" customHeight="1">
      <c r="A1156" s="18" t="s">
        <v>4577</v>
      </c>
      <c r="B1156" s="18" t="s">
        <v>691</v>
      </c>
      <c r="C1156" s="19" t="s">
        <v>4265</v>
      </c>
      <c r="D1156" s="19" t="s">
        <v>4578</v>
      </c>
      <c r="E1156" s="18" t="s">
        <v>46</v>
      </c>
      <c r="F1156" s="18" t="s">
        <v>33</v>
      </c>
      <c r="G1156" s="19" t="s">
        <v>828</v>
      </c>
      <c r="H1156" s="19" t="s">
        <v>4579</v>
      </c>
      <c r="I1156" s="19" t="s">
        <v>4324</v>
      </c>
      <c r="J1156" s="18" t="s">
        <v>51</v>
      </c>
    </row>
    <row r="1157" spans="1:10" ht="78.75" customHeight="1">
      <c r="A1157" s="21" t="s">
        <v>4580</v>
      </c>
      <c r="B1157" s="21" t="s">
        <v>695</v>
      </c>
      <c r="C1157" s="22" t="s">
        <v>4265</v>
      </c>
      <c r="D1157" s="22" t="s">
        <v>4581</v>
      </c>
      <c r="E1157" s="18" t="s">
        <v>42</v>
      </c>
      <c r="F1157" s="21" t="s">
        <v>37</v>
      </c>
      <c r="G1157" s="22" t="s">
        <v>920</v>
      </c>
      <c r="H1157" s="22" t="s">
        <v>4582</v>
      </c>
      <c r="I1157" s="22" t="s">
        <v>4583</v>
      </c>
      <c r="J1157" s="18" t="s">
        <v>51</v>
      </c>
    </row>
    <row r="1158" spans="1:10" ht="78.75" customHeight="1">
      <c r="A1158" s="18" t="s">
        <v>4584</v>
      </c>
      <c r="B1158" s="18" t="s">
        <v>695</v>
      </c>
      <c r="C1158" s="19" t="s">
        <v>4265</v>
      </c>
      <c r="D1158" s="19" t="s">
        <v>4585</v>
      </c>
      <c r="E1158" s="18" t="s">
        <v>42</v>
      </c>
      <c r="F1158" s="18" t="s">
        <v>37</v>
      </c>
      <c r="G1158" s="19" t="s">
        <v>920</v>
      </c>
      <c r="H1158" s="19" t="s">
        <v>4586</v>
      </c>
      <c r="I1158" s="19" t="s">
        <v>4587</v>
      </c>
      <c r="J1158" s="18" t="s">
        <v>51</v>
      </c>
    </row>
    <row r="1159" spans="1:10" ht="63.75" customHeight="1">
      <c r="A1159" s="21" t="s">
        <v>4588</v>
      </c>
      <c r="B1159" s="21" t="s">
        <v>695</v>
      </c>
      <c r="C1159" s="22" t="s">
        <v>4265</v>
      </c>
      <c r="D1159" s="22" t="s">
        <v>4589</v>
      </c>
      <c r="E1159" s="18" t="s">
        <v>42</v>
      </c>
      <c r="F1159" s="21" t="s">
        <v>37</v>
      </c>
      <c r="G1159" s="22" t="s">
        <v>920</v>
      </c>
      <c r="H1159" s="22" t="s">
        <v>4590</v>
      </c>
      <c r="I1159" s="22" t="s">
        <v>4591</v>
      </c>
      <c r="J1159" s="18" t="s">
        <v>51</v>
      </c>
    </row>
    <row r="1160" spans="1:10" ht="63.75" customHeight="1">
      <c r="A1160" s="18" t="s">
        <v>4592</v>
      </c>
      <c r="B1160" s="18" t="s">
        <v>695</v>
      </c>
      <c r="C1160" s="19" t="s">
        <v>4265</v>
      </c>
      <c r="D1160" s="19" t="s">
        <v>4593</v>
      </c>
      <c r="E1160" s="18" t="s">
        <v>42</v>
      </c>
      <c r="F1160" s="18" t="s">
        <v>37</v>
      </c>
      <c r="G1160" s="19" t="s">
        <v>920</v>
      </c>
      <c r="H1160" s="19" t="s">
        <v>4594</v>
      </c>
      <c r="I1160" s="19" t="s">
        <v>4595</v>
      </c>
      <c r="J1160" s="18" t="s">
        <v>51</v>
      </c>
    </row>
    <row r="1161" spans="1:10" ht="48.75" customHeight="1">
      <c r="A1161" s="21" t="s">
        <v>4596</v>
      </c>
      <c r="B1161" s="21" t="s">
        <v>695</v>
      </c>
      <c r="C1161" s="22" t="s">
        <v>4265</v>
      </c>
      <c r="D1161" s="22" t="s">
        <v>4597</v>
      </c>
      <c r="E1161" s="18" t="s">
        <v>46</v>
      </c>
      <c r="F1161" s="21" t="s">
        <v>37</v>
      </c>
      <c r="G1161" s="22" t="s">
        <v>823</v>
      </c>
      <c r="H1161" s="22" t="s">
        <v>4598</v>
      </c>
      <c r="I1161" s="22" t="s">
        <v>958</v>
      </c>
      <c r="J1161" s="18" t="s">
        <v>51</v>
      </c>
    </row>
    <row r="1162" spans="1:10" ht="48.75" customHeight="1">
      <c r="A1162" s="18" t="s">
        <v>4599</v>
      </c>
      <c r="B1162" s="18" t="s">
        <v>695</v>
      </c>
      <c r="C1162" s="19" t="s">
        <v>4265</v>
      </c>
      <c r="D1162" s="19" t="s">
        <v>4600</v>
      </c>
      <c r="E1162" s="18" t="s">
        <v>46</v>
      </c>
      <c r="F1162" s="18" t="s">
        <v>37</v>
      </c>
      <c r="G1162" s="19" t="s">
        <v>961</v>
      </c>
      <c r="H1162" s="19" t="s">
        <v>4601</v>
      </c>
      <c r="I1162" s="19" t="s">
        <v>958</v>
      </c>
      <c r="J1162" s="18" t="s">
        <v>51</v>
      </c>
    </row>
    <row r="1163" spans="1:10" ht="48.75" customHeight="1">
      <c r="A1163" s="21" t="s">
        <v>4602</v>
      </c>
      <c r="B1163" s="21" t="s">
        <v>695</v>
      </c>
      <c r="C1163" s="22" t="s">
        <v>4265</v>
      </c>
      <c r="D1163" s="22" t="s">
        <v>4603</v>
      </c>
      <c r="E1163" s="18" t="s">
        <v>46</v>
      </c>
      <c r="F1163" s="21" t="s">
        <v>37</v>
      </c>
      <c r="G1163" s="22" t="s">
        <v>828</v>
      </c>
      <c r="H1163" s="22" t="s">
        <v>4604</v>
      </c>
      <c r="I1163" s="22" t="s">
        <v>958</v>
      </c>
      <c r="J1163" s="18" t="s">
        <v>51</v>
      </c>
    </row>
    <row r="1164" spans="1:10" ht="78.75" customHeight="1">
      <c r="A1164" s="18" t="s">
        <v>4605</v>
      </c>
      <c r="B1164" s="18" t="s">
        <v>699</v>
      </c>
      <c r="C1164" s="19" t="s">
        <v>4265</v>
      </c>
      <c r="D1164" s="19" t="s">
        <v>4606</v>
      </c>
      <c r="E1164" s="18" t="s">
        <v>42</v>
      </c>
      <c r="F1164" s="18" t="s">
        <v>33</v>
      </c>
      <c r="G1164" s="19" t="s">
        <v>4308</v>
      </c>
      <c r="H1164" s="19" t="s">
        <v>4607</v>
      </c>
      <c r="I1164" s="19" t="s">
        <v>4608</v>
      </c>
      <c r="J1164" s="18" t="s">
        <v>51</v>
      </c>
    </row>
    <row r="1165" spans="1:10" ht="78.75" customHeight="1">
      <c r="A1165" s="21" t="s">
        <v>4609</v>
      </c>
      <c r="B1165" s="21" t="s">
        <v>699</v>
      </c>
      <c r="C1165" s="22" t="s">
        <v>4265</v>
      </c>
      <c r="D1165" s="22" t="s">
        <v>4610</v>
      </c>
      <c r="E1165" s="18" t="s">
        <v>42</v>
      </c>
      <c r="F1165" s="21" t="s">
        <v>33</v>
      </c>
      <c r="G1165" s="22" t="s">
        <v>4308</v>
      </c>
      <c r="H1165" s="22" t="s">
        <v>4611</v>
      </c>
      <c r="I1165" s="22" t="s">
        <v>4612</v>
      </c>
      <c r="J1165" s="18" t="s">
        <v>51</v>
      </c>
    </row>
    <row r="1166" spans="1:10" ht="78.75" customHeight="1">
      <c r="A1166" s="18" t="s">
        <v>4613</v>
      </c>
      <c r="B1166" s="18" t="s">
        <v>699</v>
      </c>
      <c r="C1166" s="19" t="s">
        <v>4265</v>
      </c>
      <c r="D1166" s="19" t="s">
        <v>4614</v>
      </c>
      <c r="E1166" s="18" t="s">
        <v>42</v>
      </c>
      <c r="F1166" s="18" t="s">
        <v>33</v>
      </c>
      <c r="G1166" s="19" t="s">
        <v>4308</v>
      </c>
      <c r="H1166" s="19" t="s">
        <v>4615</v>
      </c>
      <c r="I1166" s="19" t="s">
        <v>4616</v>
      </c>
      <c r="J1166" s="18" t="s">
        <v>51</v>
      </c>
    </row>
    <row r="1167" spans="1:10" ht="93.75" customHeight="1">
      <c r="A1167" s="21" t="s">
        <v>4617</v>
      </c>
      <c r="B1167" s="21" t="s">
        <v>699</v>
      </c>
      <c r="C1167" s="22" t="s">
        <v>4265</v>
      </c>
      <c r="D1167" s="22" t="s">
        <v>4618</v>
      </c>
      <c r="E1167" s="18" t="s">
        <v>42</v>
      </c>
      <c r="F1167" s="21" t="s">
        <v>33</v>
      </c>
      <c r="G1167" s="22" t="s">
        <v>4308</v>
      </c>
      <c r="H1167" s="22" t="s">
        <v>4619</v>
      </c>
      <c r="I1167" s="22" t="s">
        <v>4620</v>
      </c>
      <c r="J1167" s="18" t="s">
        <v>51</v>
      </c>
    </row>
    <row r="1168" spans="1:10" ht="78.75" customHeight="1">
      <c r="A1168" s="18" t="s">
        <v>4621</v>
      </c>
      <c r="B1168" s="18" t="s">
        <v>699</v>
      </c>
      <c r="C1168" s="19" t="s">
        <v>4265</v>
      </c>
      <c r="D1168" s="19" t="s">
        <v>4622</v>
      </c>
      <c r="E1168" s="18" t="s">
        <v>42</v>
      </c>
      <c r="F1168" s="18" t="s">
        <v>33</v>
      </c>
      <c r="G1168" s="19" t="s">
        <v>4308</v>
      </c>
      <c r="H1168" s="19" t="s">
        <v>4623</v>
      </c>
      <c r="I1168" s="19" t="s">
        <v>4624</v>
      </c>
      <c r="J1168" s="18" t="s">
        <v>51</v>
      </c>
    </row>
    <row r="1169" spans="1:10" ht="78.75" customHeight="1">
      <c r="A1169" s="21" t="s">
        <v>4625</v>
      </c>
      <c r="B1169" s="21" t="s">
        <v>699</v>
      </c>
      <c r="C1169" s="22" t="s">
        <v>4265</v>
      </c>
      <c r="D1169" s="22" t="s">
        <v>4626</v>
      </c>
      <c r="E1169" s="18" t="s">
        <v>42</v>
      </c>
      <c r="F1169" s="21" t="s">
        <v>33</v>
      </c>
      <c r="G1169" s="22" t="s">
        <v>4308</v>
      </c>
      <c r="H1169" s="22" t="s">
        <v>4627</v>
      </c>
      <c r="I1169" s="22" t="s">
        <v>808</v>
      </c>
      <c r="J1169" s="18" t="s">
        <v>51</v>
      </c>
    </row>
    <row r="1170" spans="1:10" ht="48.75" customHeight="1">
      <c r="A1170" s="18" t="s">
        <v>4628</v>
      </c>
      <c r="B1170" s="18" t="s">
        <v>699</v>
      </c>
      <c r="C1170" s="19" t="s">
        <v>4265</v>
      </c>
      <c r="D1170" s="19" t="s">
        <v>4629</v>
      </c>
      <c r="E1170" s="18" t="s">
        <v>46</v>
      </c>
      <c r="F1170" s="18" t="s">
        <v>33</v>
      </c>
      <c r="G1170" s="19" t="s">
        <v>4308</v>
      </c>
      <c r="H1170" s="19" t="s">
        <v>4630</v>
      </c>
      <c r="I1170" s="19" t="s">
        <v>812</v>
      </c>
      <c r="J1170" s="18" t="s">
        <v>51</v>
      </c>
    </row>
    <row r="1171" spans="1:10" ht="78.75" customHeight="1">
      <c r="A1171" s="21" t="s">
        <v>4631</v>
      </c>
      <c r="B1171" s="21" t="s">
        <v>699</v>
      </c>
      <c r="C1171" s="22" t="s">
        <v>4265</v>
      </c>
      <c r="D1171" s="22" t="s">
        <v>4632</v>
      </c>
      <c r="E1171" s="18" t="s">
        <v>44</v>
      </c>
      <c r="F1171" s="21" t="s">
        <v>33</v>
      </c>
      <c r="G1171" s="22" t="s">
        <v>4308</v>
      </c>
      <c r="H1171" s="22" t="s">
        <v>4633</v>
      </c>
      <c r="I1171" s="22" t="s">
        <v>816</v>
      </c>
      <c r="J1171" s="18" t="s">
        <v>51</v>
      </c>
    </row>
    <row r="1172" spans="1:10" ht="78.75" customHeight="1">
      <c r="A1172" s="18" t="s">
        <v>4634</v>
      </c>
      <c r="B1172" s="18" t="s">
        <v>699</v>
      </c>
      <c r="C1172" s="19" t="s">
        <v>4265</v>
      </c>
      <c r="D1172" s="19" t="s">
        <v>4635</v>
      </c>
      <c r="E1172" s="18" t="s">
        <v>44</v>
      </c>
      <c r="F1172" s="18" t="s">
        <v>33</v>
      </c>
      <c r="G1172" s="19" t="s">
        <v>4308</v>
      </c>
      <c r="H1172" s="19" t="s">
        <v>4636</v>
      </c>
      <c r="I1172" s="19" t="s">
        <v>820</v>
      </c>
      <c r="J1172" s="18" t="s">
        <v>51</v>
      </c>
    </row>
    <row r="1173" spans="1:10" ht="78.75" customHeight="1">
      <c r="A1173" s="21" t="s">
        <v>4637</v>
      </c>
      <c r="B1173" s="21" t="s">
        <v>699</v>
      </c>
      <c r="C1173" s="22" t="s">
        <v>4265</v>
      </c>
      <c r="D1173" s="22" t="s">
        <v>4638</v>
      </c>
      <c r="E1173" s="18" t="s">
        <v>42</v>
      </c>
      <c r="F1173" s="21" t="s">
        <v>33</v>
      </c>
      <c r="G1173" s="22" t="s">
        <v>4308</v>
      </c>
      <c r="H1173" s="22" t="s">
        <v>4639</v>
      </c>
      <c r="I1173" s="22" t="s">
        <v>808</v>
      </c>
      <c r="J1173" s="18" t="s">
        <v>51</v>
      </c>
    </row>
    <row r="1174" spans="1:10" ht="48.75" customHeight="1">
      <c r="A1174" s="18" t="s">
        <v>4640</v>
      </c>
      <c r="B1174" s="18" t="s">
        <v>699</v>
      </c>
      <c r="C1174" s="19" t="s">
        <v>4265</v>
      </c>
      <c r="D1174" s="19" t="s">
        <v>4641</v>
      </c>
      <c r="E1174" s="18" t="s">
        <v>46</v>
      </c>
      <c r="F1174" s="18" t="s">
        <v>33</v>
      </c>
      <c r="G1174" s="19" t="s">
        <v>4308</v>
      </c>
      <c r="H1174" s="19" t="s">
        <v>4642</v>
      </c>
      <c r="I1174" s="19" t="s">
        <v>812</v>
      </c>
      <c r="J1174" s="18" t="s">
        <v>51</v>
      </c>
    </row>
    <row r="1175" spans="1:10" ht="78.75" customHeight="1">
      <c r="A1175" s="21" t="s">
        <v>4643</v>
      </c>
      <c r="B1175" s="21" t="s">
        <v>699</v>
      </c>
      <c r="C1175" s="22" t="s">
        <v>4265</v>
      </c>
      <c r="D1175" s="22" t="s">
        <v>4644</v>
      </c>
      <c r="E1175" s="18" t="s">
        <v>44</v>
      </c>
      <c r="F1175" s="21" t="s">
        <v>33</v>
      </c>
      <c r="G1175" s="22" t="s">
        <v>4308</v>
      </c>
      <c r="H1175" s="22" t="s">
        <v>4645</v>
      </c>
      <c r="I1175" s="22" t="s">
        <v>816</v>
      </c>
      <c r="J1175" s="18" t="s">
        <v>51</v>
      </c>
    </row>
    <row r="1176" spans="1:10" ht="78.75" customHeight="1">
      <c r="A1176" s="18" t="s">
        <v>4646</v>
      </c>
      <c r="B1176" s="18" t="s">
        <v>699</v>
      </c>
      <c r="C1176" s="19" t="s">
        <v>4265</v>
      </c>
      <c r="D1176" s="19" t="s">
        <v>4647</v>
      </c>
      <c r="E1176" s="18" t="s">
        <v>44</v>
      </c>
      <c r="F1176" s="18" t="s">
        <v>33</v>
      </c>
      <c r="G1176" s="19" t="s">
        <v>4308</v>
      </c>
      <c r="H1176" s="19" t="s">
        <v>4648</v>
      </c>
      <c r="I1176" s="19" t="s">
        <v>820</v>
      </c>
      <c r="J1176" s="18" t="s">
        <v>51</v>
      </c>
    </row>
    <row r="1177" spans="1:10" ht="63.75" customHeight="1">
      <c r="A1177" s="21" t="s">
        <v>4649</v>
      </c>
      <c r="B1177" s="21" t="s">
        <v>699</v>
      </c>
      <c r="C1177" s="22" t="s">
        <v>4265</v>
      </c>
      <c r="D1177" s="22" t="s">
        <v>4650</v>
      </c>
      <c r="E1177" s="18" t="s">
        <v>46</v>
      </c>
      <c r="F1177" s="21" t="s">
        <v>33</v>
      </c>
      <c r="G1177" s="22" t="s">
        <v>961</v>
      </c>
      <c r="H1177" s="22" t="s">
        <v>4651</v>
      </c>
      <c r="I1177" s="22" t="s">
        <v>4324</v>
      </c>
      <c r="J1177" s="18" t="s">
        <v>51</v>
      </c>
    </row>
    <row r="1178" spans="1:10" ht="63.75" customHeight="1">
      <c r="A1178" s="18" t="s">
        <v>4652</v>
      </c>
      <c r="B1178" s="18" t="s">
        <v>699</v>
      </c>
      <c r="C1178" s="19" t="s">
        <v>4265</v>
      </c>
      <c r="D1178" s="19" t="s">
        <v>4653</v>
      </c>
      <c r="E1178" s="18" t="s">
        <v>46</v>
      </c>
      <c r="F1178" s="18" t="s">
        <v>33</v>
      </c>
      <c r="G1178" s="19" t="s">
        <v>828</v>
      </c>
      <c r="H1178" s="19" t="s">
        <v>4654</v>
      </c>
      <c r="I1178" s="19" t="s">
        <v>4324</v>
      </c>
      <c r="J1178" s="18" t="s">
        <v>51</v>
      </c>
    </row>
  </sheetData>
  <conditionalFormatting sqref="E2:E1178">
    <cfRule type="expression" dxfId="18" priority="2">
      <formula>$E2="Positive"</formula>
    </cfRule>
    <cfRule type="expression" dxfId="17" priority="3">
      <formula>$E2="Negative"</formula>
    </cfRule>
    <cfRule type="expression" dxfId="16" priority="4">
      <formula>$E2="Security"</formula>
    </cfRule>
    <cfRule type="expression" dxfId="15" priority="5">
      <formula>$E2="Boundary"</formula>
    </cfRule>
  </conditionalFormatting>
  <conditionalFormatting sqref="F2:F1178">
    <cfRule type="expression" dxfId="14" priority="6">
      <formula>$F2="Critical"</formula>
    </cfRule>
    <cfRule type="expression" dxfId="13" priority="7">
      <formula>$F2="High"</formula>
    </cfRule>
    <cfRule type="expression" dxfId="12" priority="8">
      <formula>$F2="Medium"</formula>
    </cfRule>
    <cfRule type="expression" dxfId="11" priority="9">
      <formula>$F2="Low"</formula>
    </cfRule>
  </conditionalFormatting>
  <conditionalFormatting sqref="J2:J1178">
    <cfRule type="expression" dxfId="10" priority="10">
      <formula>$J2="Not Run"</formula>
    </cfRule>
    <cfRule type="expression" dxfId="9" priority="11">
      <formula>$J2="Pass"</formula>
    </cfRule>
    <cfRule type="expression" dxfId="8" priority="12">
      <formula>$J2="Fail"</formula>
    </cfRule>
    <cfRule type="expression" dxfId="7" priority="13">
      <formula>$J2="Blocked"</formula>
    </cfRule>
  </conditionalFormatting>
  <dataValidations count="1">
    <dataValidation type="list" allowBlank="1" sqref="J2:J1178" xr:uid="{00000000-0002-0000-0200-000000000000}">
      <formula1>"Not Run,Pass,Fail,Blocked"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3"/>
  <sheetViews>
    <sheetView showGridLines="0" zoomScaleNormal="100" workbookViewId="0">
      <pane ySplit="1" topLeftCell="A2" activePane="bottomLeft" state="frozen"/>
      <selection pane="bottomLeft"/>
    </sheetView>
  </sheetViews>
  <sheetFormatPr defaultColWidth="8.5703125" defaultRowHeight="14.45"/>
  <cols>
    <col min="1" max="1" width="10" customWidth="1"/>
    <col min="2" max="2" width="30" customWidth="1"/>
    <col min="3" max="3" width="10" customWidth="1"/>
    <col min="4" max="4" width="14" customWidth="1"/>
    <col min="5" max="12" width="10" customWidth="1"/>
    <col min="13" max="13" width="12" customWidth="1"/>
    <col min="14" max="14" width="22" customWidth="1"/>
  </cols>
  <sheetData>
    <row r="1" spans="1:14" ht="31.5" customHeight="1">
      <c r="A1" s="17" t="s">
        <v>56</v>
      </c>
      <c r="B1" s="17" t="s">
        <v>59</v>
      </c>
      <c r="C1" s="17" t="s">
        <v>61</v>
      </c>
      <c r="D1" s="17" t="s">
        <v>23</v>
      </c>
      <c r="E1" s="17" t="s">
        <v>42</v>
      </c>
      <c r="F1" s="17" t="s">
        <v>44</v>
      </c>
      <c r="G1" s="17" t="s">
        <v>46</v>
      </c>
      <c r="H1" s="17" t="s">
        <v>48</v>
      </c>
      <c r="I1" s="17" t="s">
        <v>51</v>
      </c>
      <c r="J1" s="17" t="s">
        <v>52</v>
      </c>
      <c r="K1" s="17" t="s">
        <v>53</v>
      </c>
      <c r="L1" s="17" t="s">
        <v>54</v>
      </c>
      <c r="M1" s="17" t="s">
        <v>4655</v>
      </c>
      <c r="N1" s="17" t="s">
        <v>69</v>
      </c>
    </row>
    <row r="2" spans="1:14" ht="27.95">
      <c r="A2" s="18" t="s">
        <v>71</v>
      </c>
      <c r="B2" s="19" t="str">
        <f>'User Stories'!D2</f>
        <v>Authentication &amp; Access Management</v>
      </c>
      <c r="C2" s="18" t="str">
        <f>'User Stories'!F2</f>
        <v>Critical</v>
      </c>
      <c r="D2" s="18">
        <f>COUNTIF(TestCases[Story ID],$A2)</f>
        <v>30</v>
      </c>
      <c r="E2" s="18">
        <f>COUNTIFS(TestCases[Story ID],$A2,TestCases[Type],"Positive")</f>
        <v>4</v>
      </c>
      <c r="F2" s="18">
        <f>COUNTIFS(TestCases[Story ID],$A2,TestCases[Type],"Negative")</f>
        <v>20</v>
      </c>
      <c r="G2" s="18">
        <f>COUNTIFS(TestCases[Story ID],$A2,TestCases[Type],"Security")</f>
        <v>4</v>
      </c>
      <c r="H2" s="18">
        <f>COUNTIFS(TestCases[Story ID],$A2,TestCases[Type],"Boundary")</f>
        <v>2</v>
      </c>
      <c r="I2" s="18">
        <f>COUNTIFS(TestCases[Story ID],$A2,TestCases[Status],"Not Run")</f>
        <v>30</v>
      </c>
      <c r="J2" s="18">
        <f>COUNTIFS(TestCases[Story ID],$A2,TestCases[Status],"Pass")</f>
        <v>0</v>
      </c>
      <c r="K2" s="18">
        <f>COUNTIFS(TestCases[Story ID],$A2,TestCases[Status],"Fail")</f>
        <v>0</v>
      </c>
      <c r="L2" s="18">
        <f>COUNTIFS(TestCases[Story ID],$A2,TestCases[Status],"Blocked")</f>
        <v>0</v>
      </c>
      <c r="M2" s="23">
        <f t="shared" ref="M2:M33" si="0">IF($D2=0,0,$J2/$D2)</f>
        <v>0</v>
      </c>
      <c r="N2" s="18" t="str">
        <f>'User Stories'!N2</f>
        <v>Syed Omer Ahmed Shamsi</v>
      </c>
    </row>
    <row r="3" spans="1:14" ht="27.95">
      <c r="A3" s="21" t="s">
        <v>84</v>
      </c>
      <c r="B3" s="22" t="str">
        <f>'User Stories'!D3</f>
        <v>Authentication &amp; Access Management</v>
      </c>
      <c r="C3" s="21" t="str">
        <f>'User Stories'!F3</f>
        <v>Critical</v>
      </c>
      <c r="D3" s="21">
        <f>COUNTIF(TestCases[Story ID],$A3)</f>
        <v>14</v>
      </c>
      <c r="E3" s="21">
        <f>COUNTIFS(TestCases[Story ID],$A3,TestCases[Type],"Positive")</f>
        <v>4</v>
      </c>
      <c r="F3" s="21">
        <f>COUNTIFS(TestCases[Story ID],$A3,TestCases[Type],"Negative")</f>
        <v>6</v>
      </c>
      <c r="G3" s="21">
        <f>COUNTIFS(TestCases[Story ID],$A3,TestCases[Type],"Security")</f>
        <v>3</v>
      </c>
      <c r="H3" s="21">
        <f>COUNTIFS(TestCases[Story ID],$A3,TestCases[Type],"Boundary")</f>
        <v>1</v>
      </c>
      <c r="I3" s="21">
        <f>COUNTIFS(TestCases[Story ID],$A3,TestCases[Status],"Not Run")</f>
        <v>14</v>
      </c>
      <c r="J3" s="21">
        <f>COUNTIFS(TestCases[Story ID],$A3,TestCases[Status],"Pass")</f>
        <v>0</v>
      </c>
      <c r="K3" s="21">
        <f>COUNTIFS(TestCases[Story ID],$A3,TestCases[Status],"Fail")</f>
        <v>0</v>
      </c>
      <c r="L3" s="21">
        <f>COUNTIFS(TestCases[Story ID],$A3,TestCases[Status],"Blocked")</f>
        <v>0</v>
      </c>
      <c r="M3" s="24">
        <f t="shared" si="0"/>
        <v>0</v>
      </c>
      <c r="N3" s="21" t="str">
        <f>'User Stories'!N3</f>
        <v>Syed Omer Ahmed Shamsi</v>
      </c>
    </row>
    <row r="4" spans="1:14" ht="27.95">
      <c r="A4" s="18" t="s">
        <v>91</v>
      </c>
      <c r="B4" s="19" t="str">
        <f>'User Stories'!D4</f>
        <v>Authentication &amp; Access Management</v>
      </c>
      <c r="C4" s="18" t="str">
        <f>'User Stories'!F4</f>
        <v>Medium</v>
      </c>
      <c r="D4" s="18">
        <f>COUNTIF(TestCases[Story ID],$A4)</f>
        <v>10</v>
      </c>
      <c r="E4" s="18">
        <f>COUNTIFS(TestCases[Story ID],$A4,TestCases[Type],"Positive")</f>
        <v>4</v>
      </c>
      <c r="F4" s="18">
        <f>COUNTIFS(TestCases[Story ID],$A4,TestCases[Type],"Negative")</f>
        <v>3</v>
      </c>
      <c r="G4" s="18">
        <f>COUNTIFS(TestCases[Story ID],$A4,TestCases[Type],"Security")</f>
        <v>3</v>
      </c>
      <c r="H4" s="18">
        <f>COUNTIFS(TestCases[Story ID],$A4,TestCases[Type],"Boundary")</f>
        <v>0</v>
      </c>
      <c r="I4" s="18">
        <f>COUNTIFS(TestCases[Story ID],$A4,TestCases[Status],"Not Run")</f>
        <v>10</v>
      </c>
      <c r="J4" s="18">
        <f>COUNTIFS(TestCases[Story ID],$A4,TestCases[Status],"Pass")</f>
        <v>0</v>
      </c>
      <c r="K4" s="18">
        <f>COUNTIFS(TestCases[Story ID],$A4,TestCases[Status],"Fail")</f>
        <v>0</v>
      </c>
      <c r="L4" s="18">
        <f>COUNTIFS(TestCases[Story ID],$A4,TestCases[Status],"Blocked")</f>
        <v>0</v>
      </c>
      <c r="M4" s="23">
        <f t="shared" si="0"/>
        <v>0</v>
      </c>
      <c r="N4" s="18" t="str">
        <f>'User Stories'!N4</f>
        <v>Taha Iftikhar</v>
      </c>
    </row>
    <row r="5" spans="1:14" ht="27.95">
      <c r="A5" s="21" t="s">
        <v>98</v>
      </c>
      <c r="B5" s="22" t="str">
        <f>'User Stories'!D5</f>
        <v>Authentication &amp; Access Management</v>
      </c>
      <c r="C5" s="21" t="str">
        <f>'User Stories'!F5</f>
        <v>Critical</v>
      </c>
      <c r="D5" s="21">
        <f>COUNTIF(TestCases[Story ID],$A5)</f>
        <v>12</v>
      </c>
      <c r="E5" s="21">
        <f>COUNTIFS(TestCases[Story ID],$A5,TestCases[Type],"Positive")</f>
        <v>4</v>
      </c>
      <c r="F5" s="21">
        <f>COUNTIFS(TestCases[Story ID],$A5,TestCases[Type],"Negative")</f>
        <v>4</v>
      </c>
      <c r="G5" s="21">
        <f>COUNTIFS(TestCases[Story ID],$A5,TestCases[Type],"Security")</f>
        <v>3</v>
      </c>
      <c r="H5" s="21">
        <f>COUNTIFS(TestCases[Story ID],$A5,TestCases[Type],"Boundary")</f>
        <v>1</v>
      </c>
      <c r="I5" s="21">
        <f>COUNTIFS(TestCases[Story ID],$A5,TestCases[Status],"Not Run")</f>
        <v>12</v>
      </c>
      <c r="J5" s="21">
        <f>COUNTIFS(TestCases[Story ID],$A5,TestCases[Status],"Pass")</f>
        <v>0</v>
      </c>
      <c r="K5" s="21">
        <f>COUNTIFS(TestCases[Story ID],$A5,TestCases[Status],"Fail")</f>
        <v>0</v>
      </c>
      <c r="L5" s="21">
        <f>COUNTIFS(TestCases[Story ID],$A5,TestCases[Status],"Blocked")</f>
        <v>0</v>
      </c>
      <c r="M5" s="24">
        <f t="shared" si="0"/>
        <v>0</v>
      </c>
      <c r="N5" s="21" t="str">
        <f>'User Stories'!N5</f>
        <v>Taha Iftikhar</v>
      </c>
    </row>
    <row r="6" spans="1:14" ht="27.95">
      <c r="A6" s="18" t="s">
        <v>104</v>
      </c>
      <c r="B6" s="19" t="str">
        <f>'User Stories'!D6</f>
        <v>Authentication &amp; Access Management</v>
      </c>
      <c r="C6" s="18" t="str">
        <f>'User Stories'!F6</f>
        <v>Medium</v>
      </c>
      <c r="D6" s="18">
        <f>COUNTIF(TestCases[Story ID],$A6)</f>
        <v>6</v>
      </c>
      <c r="E6" s="18">
        <f>COUNTIFS(TestCases[Story ID],$A6,TestCases[Type],"Positive")</f>
        <v>2</v>
      </c>
      <c r="F6" s="18">
        <f>COUNTIFS(TestCases[Story ID],$A6,TestCases[Type],"Negative")</f>
        <v>1</v>
      </c>
      <c r="G6" s="18">
        <f>COUNTIFS(TestCases[Story ID],$A6,TestCases[Type],"Security")</f>
        <v>3</v>
      </c>
      <c r="H6" s="18">
        <f>COUNTIFS(TestCases[Story ID],$A6,TestCases[Type],"Boundary")</f>
        <v>0</v>
      </c>
      <c r="I6" s="18">
        <f>COUNTIFS(TestCases[Story ID],$A6,TestCases[Status],"Not Run")</f>
        <v>6</v>
      </c>
      <c r="J6" s="18">
        <f>COUNTIFS(TestCases[Story ID],$A6,TestCases[Status],"Pass")</f>
        <v>0</v>
      </c>
      <c r="K6" s="18">
        <f>COUNTIFS(TestCases[Story ID],$A6,TestCases[Status],"Fail")</f>
        <v>0</v>
      </c>
      <c r="L6" s="18">
        <f>COUNTIFS(TestCases[Story ID],$A6,TestCases[Status],"Blocked")</f>
        <v>0</v>
      </c>
      <c r="M6" s="23">
        <f t="shared" si="0"/>
        <v>0</v>
      </c>
      <c r="N6" s="18" t="str">
        <f>'User Stories'!N6</f>
        <v>Sadaf Ashfaq</v>
      </c>
    </row>
    <row r="7" spans="1:14" ht="27.95">
      <c r="A7" s="21" t="s">
        <v>109</v>
      </c>
      <c r="B7" s="22" t="str">
        <f>'User Stories'!D7</f>
        <v>Authentication &amp; Access Management</v>
      </c>
      <c r="C7" s="21" t="str">
        <f>'User Stories'!F7</f>
        <v>High</v>
      </c>
      <c r="D7" s="21">
        <f>COUNTIF(TestCases[Story ID],$A7)</f>
        <v>9</v>
      </c>
      <c r="E7" s="21">
        <f>COUNTIFS(TestCases[Story ID],$A7,TestCases[Type],"Positive")</f>
        <v>5</v>
      </c>
      <c r="F7" s="21">
        <f>COUNTIFS(TestCases[Story ID],$A7,TestCases[Type],"Negative")</f>
        <v>1</v>
      </c>
      <c r="G7" s="21">
        <f>COUNTIFS(TestCases[Story ID],$A7,TestCases[Type],"Security")</f>
        <v>3</v>
      </c>
      <c r="H7" s="21">
        <f>COUNTIFS(TestCases[Story ID],$A7,TestCases[Type],"Boundary")</f>
        <v>0</v>
      </c>
      <c r="I7" s="21">
        <f>COUNTIFS(TestCases[Story ID],$A7,TestCases[Status],"Not Run")</f>
        <v>9</v>
      </c>
      <c r="J7" s="21">
        <f>COUNTIFS(TestCases[Story ID],$A7,TestCases[Status],"Pass")</f>
        <v>0</v>
      </c>
      <c r="K7" s="21">
        <f>COUNTIFS(TestCases[Story ID],$A7,TestCases[Status],"Fail")</f>
        <v>0</v>
      </c>
      <c r="L7" s="21">
        <f>COUNTIFS(TestCases[Story ID],$A7,TestCases[Status],"Blocked")</f>
        <v>0</v>
      </c>
      <c r="M7" s="24">
        <f t="shared" si="0"/>
        <v>0</v>
      </c>
      <c r="N7" s="21" t="str">
        <f>'User Stories'!N7</f>
        <v>Sadaf Ashfaq</v>
      </c>
    </row>
    <row r="8" spans="1:14" ht="27.95">
      <c r="A8" s="18" t="s">
        <v>113</v>
      </c>
      <c r="B8" s="19" t="str">
        <f>'User Stories'!D8</f>
        <v>Authentication &amp; Access Management</v>
      </c>
      <c r="C8" s="18" t="str">
        <f>'User Stories'!F8</f>
        <v>High</v>
      </c>
      <c r="D8" s="18">
        <f>COUNTIF(TestCases[Story ID],$A8)</f>
        <v>7</v>
      </c>
      <c r="E8" s="18">
        <f>COUNTIFS(TestCases[Story ID],$A8,TestCases[Type],"Positive")</f>
        <v>4</v>
      </c>
      <c r="F8" s="18">
        <f>COUNTIFS(TestCases[Story ID],$A8,TestCases[Type],"Negative")</f>
        <v>0</v>
      </c>
      <c r="G8" s="18">
        <f>COUNTIFS(TestCases[Story ID],$A8,TestCases[Type],"Security")</f>
        <v>3</v>
      </c>
      <c r="H8" s="18">
        <f>COUNTIFS(TestCases[Story ID],$A8,TestCases[Type],"Boundary")</f>
        <v>0</v>
      </c>
      <c r="I8" s="18">
        <f>COUNTIFS(TestCases[Story ID],$A8,TestCases[Status],"Not Run")</f>
        <v>7</v>
      </c>
      <c r="J8" s="18">
        <f>COUNTIFS(TestCases[Story ID],$A8,TestCases[Status],"Pass")</f>
        <v>0</v>
      </c>
      <c r="K8" s="18">
        <f>COUNTIFS(TestCases[Story ID],$A8,TestCases[Status],"Fail")</f>
        <v>0</v>
      </c>
      <c r="L8" s="18">
        <f>COUNTIFS(TestCases[Story ID],$A8,TestCases[Status],"Blocked")</f>
        <v>0</v>
      </c>
      <c r="M8" s="23">
        <f t="shared" si="0"/>
        <v>0</v>
      </c>
      <c r="N8" s="18" t="str">
        <f>'User Stories'!N8</f>
        <v>Faris Dosani</v>
      </c>
    </row>
    <row r="9" spans="1:14" ht="27.95">
      <c r="A9" s="21" t="s">
        <v>118</v>
      </c>
      <c r="B9" s="22" t="str">
        <f>'User Stories'!D9</f>
        <v>Authentication &amp; Access Management</v>
      </c>
      <c r="C9" s="21" t="str">
        <f>'User Stories'!F9</f>
        <v>Medium</v>
      </c>
      <c r="D9" s="21">
        <f>COUNTIF(TestCases[Story ID],$A9)</f>
        <v>7</v>
      </c>
      <c r="E9" s="21">
        <f>COUNTIFS(TestCases[Story ID],$A9,TestCases[Type],"Positive")</f>
        <v>4</v>
      </c>
      <c r="F9" s="21">
        <f>COUNTIFS(TestCases[Story ID],$A9,TestCases[Type],"Negative")</f>
        <v>0</v>
      </c>
      <c r="G9" s="21">
        <f>COUNTIFS(TestCases[Story ID],$A9,TestCases[Type],"Security")</f>
        <v>3</v>
      </c>
      <c r="H9" s="21">
        <f>COUNTIFS(TestCases[Story ID],$A9,TestCases[Type],"Boundary")</f>
        <v>0</v>
      </c>
      <c r="I9" s="21">
        <f>COUNTIFS(TestCases[Story ID],$A9,TestCases[Status],"Not Run")</f>
        <v>7</v>
      </c>
      <c r="J9" s="21">
        <f>COUNTIFS(TestCases[Story ID],$A9,TestCases[Status],"Pass")</f>
        <v>0</v>
      </c>
      <c r="K9" s="21">
        <f>COUNTIFS(TestCases[Story ID],$A9,TestCases[Status],"Fail")</f>
        <v>0</v>
      </c>
      <c r="L9" s="21">
        <f>COUNTIFS(TestCases[Story ID],$A9,TestCases[Status],"Blocked")</f>
        <v>0</v>
      </c>
      <c r="M9" s="24">
        <f t="shared" si="0"/>
        <v>0</v>
      </c>
      <c r="N9" s="21" t="str">
        <f>'User Stories'!N9</f>
        <v>Faris Dosani</v>
      </c>
    </row>
    <row r="10" spans="1:14" ht="27.95">
      <c r="A10" s="18" t="s">
        <v>122</v>
      </c>
      <c r="B10" s="19" t="str">
        <f>'User Stories'!D10</f>
        <v>Authentication &amp; Access Management</v>
      </c>
      <c r="C10" s="18" t="str">
        <f>'User Stories'!F10</f>
        <v>Medium</v>
      </c>
      <c r="D10" s="18">
        <f>COUNTIF(TestCases[Story ID],$A10)</f>
        <v>7</v>
      </c>
      <c r="E10" s="18">
        <f>COUNTIFS(TestCases[Story ID],$A10,TestCases[Type],"Positive")</f>
        <v>3</v>
      </c>
      <c r="F10" s="18">
        <f>COUNTIFS(TestCases[Story ID],$A10,TestCases[Type],"Negative")</f>
        <v>1</v>
      </c>
      <c r="G10" s="18">
        <f>COUNTIFS(TestCases[Story ID],$A10,TestCases[Type],"Security")</f>
        <v>3</v>
      </c>
      <c r="H10" s="18">
        <f>COUNTIFS(TestCases[Story ID],$A10,TestCases[Type],"Boundary")</f>
        <v>0</v>
      </c>
      <c r="I10" s="18">
        <f>COUNTIFS(TestCases[Story ID],$A10,TestCases[Status],"Not Run")</f>
        <v>7</v>
      </c>
      <c r="J10" s="18">
        <f>COUNTIFS(TestCases[Story ID],$A10,TestCases[Status],"Pass")</f>
        <v>0</v>
      </c>
      <c r="K10" s="18">
        <f>COUNTIFS(TestCases[Story ID],$A10,TestCases[Status],"Fail")</f>
        <v>0</v>
      </c>
      <c r="L10" s="18">
        <f>COUNTIFS(TestCases[Story ID],$A10,TestCases[Status],"Blocked")</f>
        <v>0</v>
      </c>
      <c r="M10" s="23">
        <f t="shared" si="0"/>
        <v>0</v>
      </c>
      <c r="N10" s="18" t="str">
        <f>'User Stories'!N10</f>
        <v xml:space="preserve">Aimen Abdullah </v>
      </c>
    </row>
    <row r="11" spans="1:14" ht="27.95">
      <c r="A11" s="21" t="s">
        <v>127</v>
      </c>
      <c r="B11" s="22" t="str">
        <f>'User Stories'!D11</f>
        <v>Authentication &amp; Access Management</v>
      </c>
      <c r="C11" s="21" t="str">
        <f>'User Stories'!F11</f>
        <v>Critical</v>
      </c>
      <c r="D11" s="21">
        <f>COUNTIF(TestCases[Story ID],$A11)</f>
        <v>8</v>
      </c>
      <c r="E11" s="21">
        <f>COUNTIFS(TestCases[Story ID],$A11,TestCases[Type],"Positive")</f>
        <v>4</v>
      </c>
      <c r="F11" s="21">
        <f>COUNTIFS(TestCases[Story ID],$A11,TestCases[Type],"Negative")</f>
        <v>1</v>
      </c>
      <c r="G11" s="21">
        <f>COUNTIFS(TestCases[Story ID],$A11,TestCases[Type],"Security")</f>
        <v>3</v>
      </c>
      <c r="H11" s="21">
        <f>COUNTIFS(TestCases[Story ID],$A11,TestCases[Type],"Boundary")</f>
        <v>0</v>
      </c>
      <c r="I11" s="21">
        <f>COUNTIFS(TestCases[Story ID],$A11,TestCases[Status],"Not Run")</f>
        <v>8</v>
      </c>
      <c r="J11" s="21">
        <f>COUNTIFS(TestCases[Story ID],$A11,TestCases[Status],"Pass")</f>
        <v>0</v>
      </c>
      <c r="K11" s="21">
        <f>COUNTIFS(TestCases[Story ID],$A11,TestCases[Status],"Fail")</f>
        <v>0</v>
      </c>
      <c r="L11" s="21">
        <f>COUNTIFS(TestCases[Story ID],$A11,TestCases[Status],"Blocked")</f>
        <v>0</v>
      </c>
      <c r="M11" s="24">
        <f t="shared" si="0"/>
        <v>0</v>
      </c>
      <c r="N11" s="21" t="str">
        <f>'User Stories'!N11</f>
        <v xml:space="preserve">Aimen Abdullah </v>
      </c>
    </row>
    <row r="12" spans="1:14" ht="27.95">
      <c r="A12" s="18" t="s">
        <v>131</v>
      </c>
      <c r="B12" s="19" t="str">
        <f>'User Stories'!D12</f>
        <v>Authentication &amp; Access Management</v>
      </c>
      <c r="C12" s="18" t="str">
        <f>'User Stories'!F12</f>
        <v>Critical</v>
      </c>
      <c r="D12" s="18">
        <f>COUNTIF(TestCases[Story ID],$A12)</f>
        <v>7</v>
      </c>
      <c r="E12" s="18">
        <f>COUNTIFS(TestCases[Story ID],$A12,TestCases[Type],"Positive")</f>
        <v>3</v>
      </c>
      <c r="F12" s="18">
        <f>COUNTIFS(TestCases[Story ID],$A12,TestCases[Type],"Negative")</f>
        <v>1</v>
      </c>
      <c r="G12" s="18">
        <f>COUNTIFS(TestCases[Story ID],$A12,TestCases[Type],"Security")</f>
        <v>3</v>
      </c>
      <c r="H12" s="18">
        <f>COUNTIFS(TestCases[Story ID],$A12,TestCases[Type],"Boundary")</f>
        <v>0</v>
      </c>
      <c r="I12" s="18">
        <f>COUNTIFS(TestCases[Story ID],$A12,TestCases[Status],"Not Run")</f>
        <v>7</v>
      </c>
      <c r="J12" s="18">
        <f>COUNTIFS(TestCases[Story ID],$A12,TestCases[Status],"Pass")</f>
        <v>0</v>
      </c>
      <c r="K12" s="18">
        <f>COUNTIFS(TestCases[Story ID],$A12,TestCases[Status],"Fail")</f>
        <v>0</v>
      </c>
      <c r="L12" s="18">
        <f>COUNTIFS(TestCases[Story ID],$A12,TestCases[Status],"Blocked")</f>
        <v>0</v>
      </c>
      <c r="M12" s="23">
        <f t="shared" si="0"/>
        <v>0</v>
      </c>
      <c r="N12" s="18" t="str">
        <f>'User Stories'!N12</f>
        <v>Hassan Farooqi</v>
      </c>
    </row>
    <row r="13" spans="1:14" ht="27.95">
      <c r="A13" s="21" t="s">
        <v>136</v>
      </c>
      <c r="B13" s="22" t="str">
        <f>'User Stories'!D13</f>
        <v>Authentication &amp; Access Management</v>
      </c>
      <c r="C13" s="21" t="str">
        <f>'User Stories'!F13</f>
        <v>Critical</v>
      </c>
      <c r="D13" s="21">
        <f>COUNTIF(TestCases[Story ID],$A13)</f>
        <v>12</v>
      </c>
      <c r="E13" s="21">
        <f>COUNTIFS(TestCases[Story ID],$A13,TestCases[Type],"Positive")</f>
        <v>4</v>
      </c>
      <c r="F13" s="21">
        <f>COUNTIFS(TestCases[Story ID],$A13,TestCases[Type],"Negative")</f>
        <v>4</v>
      </c>
      <c r="G13" s="21">
        <f>COUNTIFS(TestCases[Story ID],$A13,TestCases[Type],"Security")</f>
        <v>4</v>
      </c>
      <c r="H13" s="21">
        <f>COUNTIFS(TestCases[Story ID],$A13,TestCases[Type],"Boundary")</f>
        <v>0</v>
      </c>
      <c r="I13" s="21">
        <f>COUNTIFS(TestCases[Story ID],$A13,TestCases[Status],"Not Run")</f>
        <v>12</v>
      </c>
      <c r="J13" s="21">
        <f>COUNTIFS(TestCases[Story ID],$A13,TestCases[Status],"Pass")</f>
        <v>0</v>
      </c>
      <c r="K13" s="21">
        <f>COUNTIFS(TestCases[Story ID],$A13,TestCases[Status],"Fail")</f>
        <v>0</v>
      </c>
      <c r="L13" s="21">
        <f>COUNTIFS(TestCases[Story ID],$A13,TestCases[Status],"Blocked")</f>
        <v>0</v>
      </c>
      <c r="M13" s="24">
        <f t="shared" si="0"/>
        <v>0</v>
      </c>
      <c r="N13" s="21" t="str">
        <f>'User Stories'!N13</f>
        <v>Hassan Farooqi</v>
      </c>
    </row>
    <row r="14" spans="1:14">
      <c r="A14" s="18" t="s">
        <v>141</v>
      </c>
      <c r="B14" s="19" t="str">
        <f>'User Stories'!D14</f>
        <v>Dashboard Management</v>
      </c>
      <c r="C14" s="18" t="str">
        <f>'User Stories'!F14</f>
        <v>Critical</v>
      </c>
      <c r="D14" s="18">
        <f>COUNTIF(TestCases[Story ID],$A14)</f>
        <v>28</v>
      </c>
      <c r="E14" s="18">
        <f>COUNTIFS(TestCases[Story ID],$A14,TestCases[Type],"Positive")</f>
        <v>11</v>
      </c>
      <c r="F14" s="18">
        <f>COUNTIFS(TestCases[Story ID],$A14,TestCases[Type],"Negative")</f>
        <v>12</v>
      </c>
      <c r="G14" s="18">
        <f>COUNTIFS(TestCases[Story ID],$A14,TestCases[Type],"Security")</f>
        <v>4</v>
      </c>
      <c r="H14" s="18">
        <f>COUNTIFS(TestCases[Story ID],$A14,TestCases[Type],"Boundary")</f>
        <v>1</v>
      </c>
      <c r="I14" s="18">
        <f>COUNTIFS(TestCases[Story ID],$A14,TestCases[Status],"Not Run")</f>
        <v>28</v>
      </c>
      <c r="J14" s="18">
        <f>COUNTIFS(TestCases[Story ID],$A14,TestCases[Status],"Pass")</f>
        <v>0</v>
      </c>
      <c r="K14" s="18">
        <f>COUNTIFS(TestCases[Story ID],$A14,TestCases[Status],"Fail")</f>
        <v>0</v>
      </c>
      <c r="L14" s="18">
        <f>COUNTIFS(TestCases[Story ID],$A14,TestCases[Status],"Blocked")</f>
        <v>0</v>
      </c>
      <c r="M14" s="23">
        <f t="shared" si="0"/>
        <v>0</v>
      </c>
      <c r="N14" s="18" t="str">
        <f>'User Stories'!N14</f>
        <v>Taha Iftikhar</v>
      </c>
    </row>
    <row r="15" spans="1:14">
      <c r="A15" s="21" t="s">
        <v>149</v>
      </c>
      <c r="B15" s="22" t="str">
        <f>'User Stories'!D15</f>
        <v>Dashboard Management</v>
      </c>
      <c r="C15" s="21" t="str">
        <f>'User Stories'!F15</f>
        <v>High</v>
      </c>
      <c r="D15" s="21">
        <f>COUNTIF(TestCases[Story ID],$A15)</f>
        <v>16</v>
      </c>
      <c r="E15" s="21">
        <f>COUNTIFS(TestCases[Story ID],$A15,TestCases[Type],"Positive")</f>
        <v>7</v>
      </c>
      <c r="F15" s="21">
        <f>COUNTIFS(TestCases[Story ID],$A15,TestCases[Type],"Negative")</f>
        <v>5</v>
      </c>
      <c r="G15" s="21">
        <f>COUNTIFS(TestCases[Story ID],$A15,TestCases[Type],"Security")</f>
        <v>4</v>
      </c>
      <c r="H15" s="21">
        <f>COUNTIFS(TestCases[Story ID],$A15,TestCases[Type],"Boundary")</f>
        <v>0</v>
      </c>
      <c r="I15" s="21">
        <f>COUNTIFS(TestCases[Story ID],$A15,TestCases[Status],"Not Run")</f>
        <v>16</v>
      </c>
      <c r="J15" s="21">
        <f>COUNTIFS(TestCases[Story ID],$A15,TestCases[Status],"Pass")</f>
        <v>0</v>
      </c>
      <c r="K15" s="21">
        <f>COUNTIFS(TestCases[Story ID],$A15,TestCases[Status],"Fail")</f>
        <v>0</v>
      </c>
      <c r="L15" s="21">
        <f>COUNTIFS(TestCases[Story ID],$A15,TestCases[Status],"Blocked")</f>
        <v>0</v>
      </c>
      <c r="M15" s="24">
        <f t="shared" si="0"/>
        <v>0</v>
      </c>
      <c r="N15" s="21" t="str">
        <f>'User Stories'!N15</f>
        <v>Taha Iftikhar</v>
      </c>
    </row>
    <row r="16" spans="1:14">
      <c r="A16" s="18" t="s">
        <v>154</v>
      </c>
      <c r="B16" s="19" t="str">
        <f>'User Stories'!D16</f>
        <v>Dashboard Management</v>
      </c>
      <c r="C16" s="18" t="str">
        <f>'User Stories'!F16</f>
        <v>Medium</v>
      </c>
      <c r="D16" s="18">
        <f>COUNTIF(TestCases[Story ID],$A16)</f>
        <v>8</v>
      </c>
      <c r="E16" s="18">
        <f>COUNTIFS(TestCases[Story ID],$A16,TestCases[Type],"Positive")</f>
        <v>4</v>
      </c>
      <c r="F16" s="18">
        <f>COUNTIFS(TestCases[Story ID],$A16,TestCases[Type],"Negative")</f>
        <v>1</v>
      </c>
      <c r="G16" s="18">
        <f>COUNTIFS(TestCases[Story ID],$A16,TestCases[Type],"Security")</f>
        <v>3</v>
      </c>
      <c r="H16" s="18">
        <f>COUNTIFS(TestCases[Story ID],$A16,TestCases[Type],"Boundary")</f>
        <v>0</v>
      </c>
      <c r="I16" s="18">
        <f>COUNTIFS(TestCases[Story ID],$A16,TestCases[Status],"Not Run")</f>
        <v>8</v>
      </c>
      <c r="J16" s="18">
        <f>COUNTIFS(TestCases[Story ID],$A16,TestCases[Status],"Pass")</f>
        <v>0</v>
      </c>
      <c r="K16" s="18">
        <f>COUNTIFS(TestCases[Story ID],$A16,TestCases[Status],"Fail")</f>
        <v>0</v>
      </c>
      <c r="L16" s="18">
        <f>COUNTIFS(TestCases[Story ID],$A16,TestCases[Status],"Blocked")</f>
        <v>0</v>
      </c>
      <c r="M16" s="23">
        <f t="shared" si="0"/>
        <v>0</v>
      </c>
      <c r="N16" s="18" t="str">
        <f>'User Stories'!N16</f>
        <v>Sadaf Ashfaq</v>
      </c>
    </row>
    <row r="17" spans="1:14">
      <c r="A17" s="21" t="s">
        <v>158</v>
      </c>
      <c r="B17" s="22" t="str">
        <f>'User Stories'!D17</f>
        <v>Dashboard Management</v>
      </c>
      <c r="C17" s="21" t="str">
        <f>'User Stories'!F17</f>
        <v>Medium</v>
      </c>
      <c r="D17" s="21">
        <f>COUNTIF(TestCases[Story ID],$A17)</f>
        <v>11</v>
      </c>
      <c r="E17" s="21">
        <f>COUNTIFS(TestCases[Story ID],$A17,TestCases[Type],"Positive")</f>
        <v>5</v>
      </c>
      <c r="F17" s="21">
        <f>COUNTIFS(TestCases[Story ID],$A17,TestCases[Type],"Negative")</f>
        <v>2</v>
      </c>
      <c r="G17" s="21">
        <f>COUNTIFS(TestCases[Story ID],$A17,TestCases[Type],"Security")</f>
        <v>4</v>
      </c>
      <c r="H17" s="21">
        <f>COUNTIFS(TestCases[Story ID],$A17,TestCases[Type],"Boundary")</f>
        <v>0</v>
      </c>
      <c r="I17" s="21">
        <f>COUNTIFS(TestCases[Story ID],$A17,TestCases[Status],"Not Run")</f>
        <v>11</v>
      </c>
      <c r="J17" s="21">
        <f>COUNTIFS(TestCases[Story ID],$A17,TestCases[Status],"Pass")</f>
        <v>0</v>
      </c>
      <c r="K17" s="21">
        <f>COUNTIFS(TestCases[Story ID],$A17,TestCases[Status],"Fail")</f>
        <v>0</v>
      </c>
      <c r="L17" s="21">
        <f>COUNTIFS(TestCases[Story ID],$A17,TestCases[Status],"Blocked")</f>
        <v>0</v>
      </c>
      <c r="M17" s="24">
        <f t="shared" si="0"/>
        <v>0</v>
      </c>
      <c r="N17" s="21" t="str">
        <f>'User Stories'!N17</f>
        <v>Sadaf Ashfaq</v>
      </c>
    </row>
    <row r="18" spans="1:14">
      <c r="A18" s="18" t="s">
        <v>163</v>
      </c>
      <c r="B18" s="19" t="str">
        <f>'User Stories'!D18</f>
        <v>Dashboard Management</v>
      </c>
      <c r="C18" s="18" t="str">
        <f>'User Stories'!F18</f>
        <v>High</v>
      </c>
      <c r="D18" s="18">
        <f>COUNTIF(TestCases[Story ID],$A18)</f>
        <v>13</v>
      </c>
      <c r="E18" s="18">
        <f>COUNTIFS(TestCases[Story ID],$A18,TestCases[Type],"Positive")</f>
        <v>5</v>
      </c>
      <c r="F18" s="18">
        <f>COUNTIFS(TestCases[Story ID],$A18,TestCases[Type],"Negative")</f>
        <v>4</v>
      </c>
      <c r="G18" s="18">
        <f>COUNTIFS(TestCases[Story ID],$A18,TestCases[Type],"Security")</f>
        <v>4</v>
      </c>
      <c r="H18" s="18">
        <f>COUNTIFS(TestCases[Story ID],$A18,TestCases[Type],"Boundary")</f>
        <v>0</v>
      </c>
      <c r="I18" s="18">
        <f>COUNTIFS(TestCases[Story ID],$A18,TestCases[Status],"Not Run")</f>
        <v>13</v>
      </c>
      <c r="J18" s="18">
        <f>COUNTIFS(TestCases[Story ID],$A18,TestCases[Status],"Pass")</f>
        <v>0</v>
      </c>
      <c r="K18" s="18">
        <f>COUNTIFS(TestCases[Story ID],$A18,TestCases[Status],"Fail")</f>
        <v>0</v>
      </c>
      <c r="L18" s="18">
        <f>COUNTIFS(TestCases[Story ID],$A18,TestCases[Status],"Blocked")</f>
        <v>0</v>
      </c>
      <c r="M18" s="23">
        <f t="shared" si="0"/>
        <v>0</v>
      </c>
      <c r="N18" s="18" t="str">
        <f>'User Stories'!N18</f>
        <v>Faris Dosani</v>
      </c>
    </row>
    <row r="19" spans="1:14">
      <c r="A19" s="21" t="s">
        <v>168</v>
      </c>
      <c r="B19" s="22" t="str">
        <f>'User Stories'!D19</f>
        <v>Dashboard Management</v>
      </c>
      <c r="C19" s="21" t="str">
        <f>'User Stories'!F19</f>
        <v>Critical</v>
      </c>
      <c r="D19" s="21">
        <f>COUNTIF(TestCases[Story ID],$A19)</f>
        <v>12</v>
      </c>
      <c r="E19" s="21">
        <f>COUNTIFS(TestCases[Story ID],$A19,TestCases[Type],"Positive")</f>
        <v>9</v>
      </c>
      <c r="F19" s="21">
        <f>COUNTIFS(TestCases[Story ID],$A19,TestCases[Type],"Negative")</f>
        <v>1</v>
      </c>
      <c r="G19" s="21">
        <f>COUNTIFS(TestCases[Story ID],$A19,TestCases[Type],"Security")</f>
        <v>2</v>
      </c>
      <c r="H19" s="21">
        <f>COUNTIFS(TestCases[Story ID],$A19,TestCases[Type],"Boundary")</f>
        <v>0</v>
      </c>
      <c r="I19" s="21">
        <f>COUNTIFS(TestCases[Story ID],$A19,TestCases[Status],"Not Run")</f>
        <v>12</v>
      </c>
      <c r="J19" s="21">
        <f>COUNTIFS(TestCases[Story ID],$A19,TestCases[Status],"Pass")</f>
        <v>0</v>
      </c>
      <c r="K19" s="21">
        <f>COUNTIFS(TestCases[Story ID],$A19,TestCases[Status],"Fail")</f>
        <v>0</v>
      </c>
      <c r="L19" s="21">
        <f>COUNTIFS(TestCases[Story ID],$A19,TestCases[Status],"Blocked")</f>
        <v>0</v>
      </c>
      <c r="M19" s="24">
        <f t="shared" si="0"/>
        <v>0</v>
      </c>
      <c r="N19" s="21" t="str">
        <f>'User Stories'!N19</f>
        <v>Syed Omer Ahmed Shamsi</v>
      </c>
    </row>
    <row r="20" spans="1:14">
      <c r="A20" s="18" t="s">
        <v>173</v>
      </c>
      <c r="B20" s="19" t="str">
        <f>'User Stories'!D20</f>
        <v>Dashboard Management</v>
      </c>
      <c r="C20" s="18" t="str">
        <f>'User Stories'!F20</f>
        <v>Critical</v>
      </c>
      <c r="D20" s="18">
        <f>COUNTIF(TestCases[Story ID],$A20)</f>
        <v>10</v>
      </c>
      <c r="E20" s="18">
        <f>COUNTIFS(TestCases[Story ID],$A20,TestCases[Type],"Positive")</f>
        <v>4</v>
      </c>
      <c r="F20" s="18">
        <f>COUNTIFS(TestCases[Story ID],$A20,TestCases[Type],"Negative")</f>
        <v>2</v>
      </c>
      <c r="G20" s="18">
        <f>COUNTIFS(TestCases[Story ID],$A20,TestCases[Type],"Security")</f>
        <v>4</v>
      </c>
      <c r="H20" s="18">
        <f>COUNTIFS(TestCases[Story ID],$A20,TestCases[Type],"Boundary")</f>
        <v>0</v>
      </c>
      <c r="I20" s="18">
        <f>COUNTIFS(TestCases[Story ID],$A20,TestCases[Status],"Not Run")</f>
        <v>10</v>
      </c>
      <c r="J20" s="18">
        <f>COUNTIFS(TestCases[Story ID],$A20,TestCases[Status],"Pass")</f>
        <v>0</v>
      </c>
      <c r="K20" s="18">
        <f>COUNTIFS(TestCases[Story ID],$A20,TestCases[Status],"Fail")</f>
        <v>0</v>
      </c>
      <c r="L20" s="18">
        <f>COUNTIFS(TestCases[Story ID],$A20,TestCases[Status],"Blocked")</f>
        <v>0</v>
      </c>
      <c r="M20" s="23">
        <f t="shared" si="0"/>
        <v>0</v>
      </c>
      <c r="N20" s="18" t="str">
        <f>'User Stories'!N20</f>
        <v>Syed Omer Ahmed Shamsi</v>
      </c>
    </row>
    <row r="21" spans="1:14">
      <c r="A21" s="21" t="s">
        <v>178</v>
      </c>
      <c r="B21" s="22" t="str">
        <f>'User Stories'!D21</f>
        <v>Dashboard Management</v>
      </c>
      <c r="C21" s="21" t="str">
        <f>'User Stories'!F21</f>
        <v>Medium</v>
      </c>
      <c r="D21" s="21">
        <f>COUNTIF(TestCases[Story ID],$A21)</f>
        <v>7</v>
      </c>
      <c r="E21" s="21">
        <f>COUNTIFS(TestCases[Story ID],$A21,TestCases[Type],"Positive")</f>
        <v>4</v>
      </c>
      <c r="F21" s="21">
        <f>COUNTIFS(TestCases[Story ID],$A21,TestCases[Type],"Negative")</f>
        <v>0</v>
      </c>
      <c r="G21" s="21">
        <f>COUNTIFS(TestCases[Story ID],$A21,TestCases[Type],"Security")</f>
        <v>3</v>
      </c>
      <c r="H21" s="21">
        <f>COUNTIFS(TestCases[Story ID],$A21,TestCases[Type],"Boundary")</f>
        <v>0</v>
      </c>
      <c r="I21" s="21">
        <f>COUNTIFS(TestCases[Story ID],$A21,TestCases[Status],"Not Run")</f>
        <v>7</v>
      </c>
      <c r="J21" s="21">
        <f>COUNTIFS(TestCases[Story ID],$A21,TestCases[Status],"Pass")</f>
        <v>0</v>
      </c>
      <c r="K21" s="21">
        <f>COUNTIFS(TestCases[Story ID],$A21,TestCases[Status],"Fail")</f>
        <v>0</v>
      </c>
      <c r="L21" s="21">
        <f>COUNTIFS(TestCases[Story ID],$A21,TestCases[Status],"Blocked")</f>
        <v>0</v>
      </c>
      <c r="M21" s="24">
        <f t="shared" si="0"/>
        <v>0</v>
      </c>
      <c r="N21" s="21" t="str">
        <f>'User Stories'!N21</f>
        <v>Faris Dosani</v>
      </c>
    </row>
    <row r="22" spans="1:14">
      <c r="A22" s="18" t="s">
        <v>182</v>
      </c>
      <c r="B22" s="19" t="str">
        <f>'User Stories'!D22</f>
        <v>Dashboard Management</v>
      </c>
      <c r="C22" s="18" t="str">
        <f>'User Stories'!F22</f>
        <v>High</v>
      </c>
      <c r="D22" s="18">
        <f>COUNTIF(TestCases[Story ID],$A22)</f>
        <v>9</v>
      </c>
      <c r="E22" s="18">
        <f>COUNTIFS(TestCases[Story ID],$A22,TestCases[Type],"Positive")</f>
        <v>5</v>
      </c>
      <c r="F22" s="18">
        <f>COUNTIFS(TestCases[Story ID],$A22,TestCases[Type],"Negative")</f>
        <v>1</v>
      </c>
      <c r="G22" s="18">
        <f>COUNTIFS(TestCases[Story ID],$A22,TestCases[Type],"Security")</f>
        <v>3</v>
      </c>
      <c r="H22" s="18">
        <f>COUNTIFS(TestCases[Story ID],$A22,TestCases[Type],"Boundary")</f>
        <v>0</v>
      </c>
      <c r="I22" s="18">
        <f>COUNTIFS(TestCases[Story ID],$A22,TestCases[Status],"Not Run")</f>
        <v>9</v>
      </c>
      <c r="J22" s="18">
        <f>COUNTIFS(TestCases[Story ID],$A22,TestCases[Status],"Pass")</f>
        <v>0</v>
      </c>
      <c r="K22" s="18">
        <f>COUNTIFS(TestCases[Story ID],$A22,TestCases[Status],"Fail")</f>
        <v>0</v>
      </c>
      <c r="L22" s="18">
        <f>COUNTIFS(TestCases[Story ID],$A22,TestCases[Status],"Blocked")</f>
        <v>0</v>
      </c>
      <c r="M22" s="23">
        <f t="shared" si="0"/>
        <v>0</v>
      </c>
      <c r="N22" s="18" t="str">
        <f>'User Stories'!N22</f>
        <v>Hassan Farooqi</v>
      </c>
    </row>
    <row r="23" spans="1:14">
      <c r="A23" s="21" t="s">
        <v>186</v>
      </c>
      <c r="B23" s="22" t="str">
        <f>'User Stories'!D23</f>
        <v>Dashboard Management</v>
      </c>
      <c r="C23" s="21" t="str">
        <f>'User Stories'!F23</f>
        <v>Low</v>
      </c>
      <c r="D23" s="21">
        <f>COUNTIF(TestCases[Story ID],$A23)</f>
        <v>8</v>
      </c>
      <c r="E23" s="21">
        <f>COUNTIFS(TestCases[Story ID],$A23,TestCases[Type],"Positive")</f>
        <v>4</v>
      </c>
      <c r="F23" s="21">
        <f>COUNTIFS(TestCases[Story ID],$A23,TestCases[Type],"Negative")</f>
        <v>1</v>
      </c>
      <c r="G23" s="21">
        <f>COUNTIFS(TestCases[Story ID],$A23,TestCases[Type],"Security")</f>
        <v>3</v>
      </c>
      <c r="H23" s="21">
        <f>COUNTIFS(TestCases[Story ID],$A23,TestCases[Type],"Boundary")</f>
        <v>0</v>
      </c>
      <c r="I23" s="21">
        <f>COUNTIFS(TestCases[Story ID],$A23,TestCases[Status],"Not Run")</f>
        <v>8</v>
      </c>
      <c r="J23" s="21">
        <f>COUNTIFS(TestCases[Story ID],$A23,TestCases[Status],"Pass")</f>
        <v>0</v>
      </c>
      <c r="K23" s="21">
        <f>COUNTIFS(TestCases[Story ID],$A23,TestCases[Status],"Fail")</f>
        <v>0</v>
      </c>
      <c r="L23" s="21">
        <f>COUNTIFS(TestCases[Story ID],$A23,TestCases[Status],"Blocked")</f>
        <v>0</v>
      </c>
      <c r="M23" s="24">
        <f t="shared" si="0"/>
        <v>0</v>
      </c>
      <c r="N23" s="21" t="str">
        <f>'User Stories'!N23</f>
        <v>Hassan Farooqi</v>
      </c>
    </row>
    <row r="24" spans="1:14">
      <c r="A24" s="18" t="s">
        <v>190</v>
      </c>
      <c r="B24" s="19" t="str">
        <f>'User Stories'!D24</f>
        <v>Employee Profile Management</v>
      </c>
      <c r="C24" s="18" t="str">
        <f>'User Stories'!F24</f>
        <v>Critical</v>
      </c>
      <c r="D24" s="18">
        <f>COUNTIF(TestCases[Story ID],$A24)</f>
        <v>15</v>
      </c>
      <c r="E24" s="18">
        <f>COUNTIFS(TestCases[Story ID],$A24,TestCases[Type],"Positive")</f>
        <v>6</v>
      </c>
      <c r="F24" s="18">
        <f>COUNTIFS(TestCases[Story ID],$A24,TestCases[Type],"Negative")</f>
        <v>6</v>
      </c>
      <c r="G24" s="18">
        <f>COUNTIFS(TestCases[Story ID],$A24,TestCases[Type],"Security")</f>
        <v>3</v>
      </c>
      <c r="H24" s="18">
        <f>COUNTIFS(TestCases[Story ID],$A24,TestCases[Type],"Boundary")</f>
        <v>0</v>
      </c>
      <c r="I24" s="18">
        <f>COUNTIFS(TestCases[Story ID],$A24,TestCases[Status],"Not Run")</f>
        <v>15</v>
      </c>
      <c r="J24" s="18">
        <f>COUNTIFS(TestCases[Story ID],$A24,TestCases[Status],"Pass")</f>
        <v>0</v>
      </c>
      <c r="K24" s="18">
        <f>COUNTIFS(TestCases[Story ID],$A24,TestCases[Status],"Fail")</f>
        <v>0</v>
      </c>
      <c r="L24" s="18">
        <f>COUNTIFS(TestCases[Story ID],$A24,TestCases[Status],"Blocked")</f>
        <v>0</v>
      </c>
      <c r="M24" s="23">
        <f t="shared" si="0"/>
        <v>0</v>
      </c>
      <c r="N24" s="18" t="str">
        <f>'User Stories'!N24</f>
        <v xml:space="preserve">Aimen Abdullah </v>
      </c>
    </row>
    <row r="25" spans="1:14">
      <c r="A25" s="21" t="s">
        <v>199</v>
      </c>
      <c r="B25" s="22" t="str">
        <f>'User Stories'!D25</f>
        <v>Employee Profile Management</v>
      </c>
      <c r="C25" s="21" t="str">
        <f>'User Stories'!F25</f>
        <v>High</v>
      </c>
      <c r="D25" s="21">
        <f>COUNTIF(TestCases[Story ID],$A25)</f>
        <v>15</v>
      </c>
      <c r="E25" s="21">
        <f>COUNTIFS(TestCases[Story ID],$A25,TestCases[Type],"Positive")</f>
        <v>5</v>
      </c>
      <c r="F25" s="21">
        <f>COUNTIFS(TestCases[Story ID],$A25,TestCases[Type],"Negative")</f>
        <v>6</v>
      </c>
      <c r="G25" s="21">
        <f>COUNTIFS(TestCases[Story ID],$A25,TestCases[Type],"Security")</f>
        <v>4</v>
      </c>
      <c r="H25" s="21">
        <f>COUNTIFS(TestCases[Story ID],$A25,TestCases[Type],"Boundary")</f>
        <v>0</v>
      </c>
      <c r="I25" s="21">
        <f>COUNTIFS(TestCases[Story ID],$A25,TestCases[Status],"Not Run")</f>
        <v>15</v>
      </c>
      <c r="J25" s="21">
        <f>COUNTIFS(TestCases[Story ID],$A25,TestCases[Status],"Pass")</f>
        <v>0</v>
      </c>
      <c r="K25" s="21">
        <f>COUNTIFS(TestCases[Story ID],$A25,TestCases[Status],"Fail")</f>
        <v>0</v>
      </c>
      <c r="L25" s="21">
        <f>COUNTIFS(TestCases[Story ID],$A25,TestCases[Status],"Blocked")</f>
        <v>0</v>
      </c>
      <c r="M25" s="24">
        <f t="shared" si="0"/>
        <v>0</v>
      </c>
      <c r="N25" s="21" t="str">
        <f>'User Stories'!N25</f>
        <v xml:space="preserve">Aimen Abdullah </v>
      </c>
    </row>
    <row r="26" spans="1:14">
      <c r="A26" s="18" t="s">
        <v>205</v>
      </c>
      <c r="B26" s="19" t="str">
        <f>'User Stories'!D26</f>
        <v>Employee Profile Management</v>
      </c>
      <c r="C26" s="18" t="str">
        <f>'User Stories'!F26</f>
        <v>Critical</v>
      </c>
      <c r="D26" s="18">
        <f>COUNTIF(TestCases[Story ID],$A26)</f>
        <v>11</v>
      </c>
      <c r="E26" s="18">
        <f>COUNTIFS(TestCases[Story ID],$A26,TestCases[Type],"Positive")</f>
        <v>5</v>
      </c>
      <c r="F26" s="18">
        <f>COUNTIFS(TestCases[Story ID],$A26,TestCases[Type],"Negative")</f>
        <v>2</v>
      </c>
      <c r="G26" s="18">
        <f>COUNTIFS(TestCases[Story ID],$A26,TestCases[Type],"Security")</f>
        <v>4</v>
      </c>
      <c r="H26" s="18">
        <f>COUNTIFS(TestCases[Story ID],$A26,TestCases[Type],"Boundary")</f>
        <v>0</v>
      </c>
      <c r="I26" s="18">
        <f>COUNTIFS(TestCases[Story ID],$A26,TestCases[Status],"Not Run")</f>
        <v>11</v>
      </c>
      <c r="J26" s="18">
        <f>COUNTIFS(TestCases[Story ID],$A26,TestCases[Status],"Pass")</f>
        <v>0</v>
      </c>
      <c r="K26" s="18">
        <f>COUNTIFS(TestCases[Story ID],$A26,TestCases[Status],"Fail")</f>
        <v>0</v>
      </c>
      <c r="L26" s="18">
        <f>COUNTIFS(TestCases[Story ID],$A26,TestCases[Status],"Blocked")</f>
        <v>0</v>
      </c>
      <c r="M26" s="23">
        <f t="shared" si="0"/>
        <v>0</v>
      </c>
      <c r="N26" s="18" t="str">
        <f>'User Stories'!N26</f>
        <v>Faris Dosani</v>
      </c>
    </row>
    <row r="27" spans="1:14">
      <c r="A27" s="21" t="s">
        <v>210</v>
      </c>
      <c r="B27" s="22" t="str">
        <f>'User Stories'!D27</f>
        <v>Employee Profile Management</v>
      </c>
      <c r="C27" s="21" t="str">
        <f>'User Stories'!F27</f>
        <v>High</v>
      </c>
      <c r="D27" s="21">
        <f>COUNTIF(TestCases[Story ID],$A27)</f>
        <v>6</v>
      </c>
      <c r="E27" s="21">
        <f>COUNTIFS(TestCases[Story ID],$A27,TestCases[Type],"Positive")</f>
        <v>2</v>
      </c>
      <c r="F27" s="21">
        <f>COUNTIFS(TestCases[Story ID],$A27,TestCases[Type],"Negative")</f>
        <v>1</v>
      </c>
      <c r="G27" s="21">
        <f>COUNTIFS(TestCases[Story ID],$A27,TestCases[Type],"Security")</f>
        <v>3</v>
      </c>
      <c r="H27" s="21">
        <f>COUNTIFS(TestCases[Story ID],$A27,TestCases[Type],"Boundary")</f>
        <v>0</v>
      </c>
      <c r="I27" s="21">
        <f>COUNTIFS(TestCases[Story ID],$A27,TestCases[Status],"Not Run")</f>
        <v>6</v>
      </c>
      <c r="J27" s="21">
        <f>COUNTIFS(TestCases[Story ID],$A27,TestCases[Status],"Pass")</f>
        <v>0</v>
      </c>
      <c r="K27" s="21">
        <f>COUNTIFS(TestCases[Story ID],$A27,TestCases[Status],"Fail")</f>
        <v>0</v>
      </c>
      <c r="L27" s="21">
        <f>COUNTIFS(TestCases[Story ID],$A27,TestCases[Status],"Blocked")</f>
        <v>0</v>
      </c>
      <c r="M27" s="24">
        <f t="shared" si="0"/>
        <v>0</v>
      </c>
      <c r="N27" s="21" t="str">
        <f>'User Stories'!N27</f>
        <v>Faris Dosani</v>
      </c>
    </row>
    <row r="28" spans="1:14">
      <c r="A28" s="18" t="s">
        <v>214</v>
      </c>
      <c r="B28" s="19" t="str">
        <f>'User Stories'!D28</f>
        <v>Employee Profile Management</v>
      </c>
      <c r="C28" s="18" t="str">
        <f>'User Stories'!F28</f>
        <v>Medium</v>
      </c>
      <c r="D28" s="18">
        <f>COUNTIF(TestCases[Story ID],$A28)</f>
        <v>6</v>
      </c>
      <c r="E28" s="18">
        <f>COUNTIFS(TestCases[Story ID],$A28,TestCases[Type],"Positive")</f>
        <v>3</v>
      </c>
      <c r="F28" s="18">
        <f>COUNTIFS(TestCases[Story ID],$A28,TestCases[Type],"Negative")</f>
        <v>0</v>
      </c>
      <c r="G28" s="18">
        <f>COUNTIFS(TestCases[Story ID],$A28,TestCases[Type],"Security")</f>
        <v>3</v>
      </c>
      <c r="H28" s="18">
        <f>COUNTIFS(TestCases[Story ID],$A28,TestCases[Type],"Boundary")</f>
        <v>0</v>
      </c>
      <c r="I28" s="18">
        <f>COUNTIFS(TestCases[Story ID],$A28,TestCases[Status],"Not Run")</f>
        <v>6</v>
      </c>
      <c r="J28" s="18">
        <f>COUNTIFS(TestCases[Story ID],$A28,TestCases[Status],"Pass")</f>
        <v>0</v>
      </c>
      <c r="K28" s="18">
        <f>COUNTIFS(TestCases[Story ID],$A28,TestCases[Status],"Fail")</f>
        <v>0</v>
      </c>
      <c r="L28" s="18">
        <f>COUNTIFS(TestCases[Story ID],$A28,TestCases[Status],"Blocked")</f>
        <v>0</v>
      </c>
      <c r="M28" s="23">
        <f t="shared" si="0"/>
        <v>0</v>
      </c>
      <c r="N28" s="18" t="str">
        <f>'User Stories'!N28</f>
        <v>Syed Omer Ahmed Shamsi</v>
      </c>
    </row>
    <row r="29" spans="1:14">
      <c r="A29" s="21" t="s">
        <v>218</v>
      </c>
      <c r="B29" s="22" t="str">
        <f>'User Stories'!D29</f>
        <v>Employee Profile Management</v>
      </c>
      <c r="C29" s="21" t="str">
        <f>'User Stories'!F29</f>
        <v>Medium</v>
      </c>
      <c r="D29" s="21">
        <f>COUNTIF(TestCases[Story ID],$A29)</f>
        <v>6</v>
      </c>
      <c r="E29" s="21">
        <f>COUNTIFS(TestCases[Story ID],$A29,TestCases[Type],"Positive")</f>
        <v>3</v>
      </c>
      <c r="F29" s="21">
        <f>COUNTIFS(TestCases[Story ID],$A29,TestCases[Type],"Negative")</f>
        <v>0</v>
      </c>
      <c r="G29" s="21">
        <f>COUNTIFS(TestCases[Story ID],$A29,TestCases[Type],"Security")</f>
        <v>3</v>
      </c>
      <c r="H29" s="21">
        <f>COUNTIFS(TestCases[Story ID],$A29,TestCases[Type],"Boundary")</f>
        <v>0</v>
      </c>
      <c r="I29" s="21">
        <f>COUNTIFS(TestCases[Story ID],$A29,TestCases[Status],"Not Run")</f>
        <v>6</v>
      </c>
      <c r="J29" s="21">
        <f>COUNTIFS(TestCases[Story ID],$A29,TestCases[Status],"Pass")</f>
        <v>0</v>
      </c>
      <c r="K29" s="21">
        <f>COUNTIFS(TestCases[Story ID],$A29,TestCases[Status],"Fail")</f>
        <v>0</v>
      </c>
      <c r="L29" s="21">
        <f>COUNTIFS(TestCases[Story ID],$A29,TestCases[Status],"Blocked")</f>
        <v>0</v>
      </c>
      <c r="M29" s="24">
        <f t="shared" si="0"/>
        <v>0</v>
      </c>
      <c r="N29" s="21" t="str">
        <f>'User Stories'!N29</f>
        <v>Syed Omer Ahmed Shamsi</v>
      </c>
    </row>
    <row r="30" spans="1:14">
      <c r="A30" s="18" t="s">
        <v>222</v>
      </c>
      <c r="B30" s="19" t="str">
        <f>'User Stories'!D30</f>
        <v>Employee Profile Management</v>
      </c>
      <c r="C30" s="18" t="str">
        <f>'User Stories'!F30</f>
        <v>Medium</v>
      </c>
      <c r="D30" s="18">
        <f>COUNTIF(TestCases[Story ID],$A30)</f>
        <v>6</v>
      </c>
      <c r="E30" s="18">
        <f>COUNTIFS(TestCases[Story ID],$A30,TestCases[Type],"Positive")</f>
        <v>3</v>
      </c>
      <c r="F30" s="18">
        <f>COUNTIFS(TestCases[Story ID],$A30,TestCases[Type],"Negative")</f>
        <v>0</v>
      </c>
      <c r="G30" s="18">
        <f>COUNTIFS(TestCases[Story ID],$A30,TestCases[Type],"Security")</f>
        <v>3</v>
      </c>
      <c r="H30" s="18">
        <f>COUNTIFS(TestCases[Story ID],$A30,TestCases[Type],"Boundary")</f>
        <v>0</v>
      </c>
      <c r="I30" s="18">
        <f>COUNTIFS(TestCases[Story ID],$A30,TestCases[Status],"Not Run")</f>
        <v>6</v>
      </c>
      <c r="J30" s="18">
        <f>COUNTIFS(TestCases[Story ID],$A30,TestCases[Status],"Pass")</f>
        <v>0</v>
      </c>
      <c r="K30" s="18">
        <f>COUNTIFS(TestCases[Story ID],$A30,TestCases[Status],"Fail")</f>
        <v>0</v>
      </c>
      <c r="L30" s="18">
        <f>COUNTIFS(TestCases[Story ID],$A30,TestCases[Status],"Blocked")</f>
        <v>0</v>
      </c>
      <c r="M30" s="23">
        <f t="shared" si="0"/>
        <v>0</v>
      </c>
      <c r="N30" s="18" t="str">
        <f>'User Stories'!N30</f>
        <v>Sadaf Ashfaq</v>
      </c>
    </row>
    <row r="31" spans="1:14">
      <c r="A31" s="21" t="s">
        <v>226</v>
      </c>
      <c r="B31" s="22" t="str">
        <f>'User Stories'!D31</f>
        <v>Employee Profile Management</v>
      </c>
      <c r="C31" s="21" t="str">
        <f>'User Stories'!F31</f>
        <v>Medium</v>
      </c>
      <c r="D31" s="21">
        <f>COUNTIF(TestCases[Story ID],$A31)</f>
        <v>6</v>
      </c>
      <c r="E31" s="21">
        <f>COUNTIFS(TestCases[Story ID],$A31,TestCases[Type],"Positive")</f>
        <v>3</v>
      </c>
      <c r="F31" s="21">
        <f>COUNTIFS(TestCases[Story ID],$A31,TestCases[Type],"Negative")</f>
        <v>0</v>
      </c>
      <c r="G31" s="21">
        <f>COUNTIFS(TestCases[Story ID],$A31,TestCases[Type],"Security")</f>
        <v>3</v>
      </c>
      <c r="H31" s="21">
        <f>COUNTIFS(TestCases[Story ID],$A31,TestCases[Type],"Boundary")</f>
        <v>0</v>
      </c>
      <c r="I31" s="21">
        <f>COUNTIFS(TestCases[Story ID],$A31,TestCases[Status],"Not Run")</f>
        <v>6</v>
      </c>
      <c r="J31" s="21">
        <f>COUNTIFS(TestCases[Story ID],$A31,TestCases[Status],"Pass")</f>
        <v>0</v>
      </c>
      <c r="K31" s="21">
        <f>COUNTIFS(TestCases[Story ID],$A31,TestCases[Status],"Fail")</f>
        <v>0</v>
      </c>
      <c r="L31" s="21">
        <f>COUNTIFS(TestCases[Story ID],$A31,TestCases[Status],"Blocked")</f>
        <v>0</v>
      </c>
      <c r="M31" s="24">
        <f t="shared" si="0"/>
        <v>0</v>
      </c>
      <c r="N31" s="21" t="str">
        <f>'User Stories'!N31</f>
        <v>Sadaf Ashfaq</v>
      </c>
    </row>
    <row r="32" spans="1:14">
      <c r="A32" s="18" t="s">
        <v>230</v>
      </c>
      <c r="B32" s="19" t="str">
        <f>'User Stories'!D32</f>
        <v>Employee Profile Management</v>
      </c>
      <c r="C32" s="18" t="str">
        <f>'User Stories'!F32</f>
        <v>Critical</v>
      </c>
      <c r="D32" s="18">
        <f>COUNTIF(TestCases[Story ID],$A32)</f>
        <v>6</v>
      </c>
      <c r="E32" s="18">
        <f>COUNTIFS(TestCases[Story ID],$A32,TestCases[Type],"Positive")</f>
        <v>2</v>
      </c>
      <c r="F32" s="18">
        <f>COUNTIFS(TestCases[Story ID],$A32,TestCases[Type],"Negative")</f>
        <v>1</v>
      </c>
      <c r="G32" s="18">
        <f>COUNTIFS(TestCases[Story ID],$A32,TestCases[Type],"Security")</f>
        <v>3</v>
      </c>
      <c r="H32" s="18">
        <f>COUNTIFS(TestCases[Story ID],$A32,TestCases[Type],"Boundary")</f>
        <v>0</v>
      </c>
      <c r="I32" s="18">
        <f>COUNTIFS(TestCases[Story ID],$A32,TestCases[Status],"Not Run")</f>
        <v>6</v>
      </c>
      <c r="J32" s="18">
        <f>COUNTIFS(TestCases[Story ID],$A32,TestCases[Status],"Pass")</f>
        <v>0</v>
      </c>
      <c r="K32" s="18">
        <f>COUNTIFS(TestCases[Story ID],$A32,TestCases[Status],"Fail")</f>
        <v>0</v>
      </c>
      <c r="L32" s="18">
        <f>COUNTIFS(TestCases[Story ID],$A32,TestCases[Status],"Blocked")</f>
        <v>0</v>
      </c>
      <c r="M32" s="23">
        <f t="shared" si="0"/>
        <v>0</v>
      </c>
      <c r="N32" s="18" t="str">
        <f>'User Stories'!N32</f>
        <v xml:space="preserve">Aimen Abdullah </v>
      </c>
    </row>
    <row r="33" spans="1:14">
      <c r="A33" s="21" t="s">
        <v>234</v>
      </c>
      <c r="B33" s="22" t="str">
        <f>'User Stories'!D33</f>
        <v>Employee Profile Management</v>
      </c>
      <c r="C33" s="21" t="str">
        <f>'User Stories'!F33</f>
        <v>Critical</v>
      </c>
      <c r="D33" s="21">
        <f>COUNTIF(TestCases[Story ID],$A33)</f>
        <v>7</v>
      </c>
      <c r="E33" s="21">
        <f>COUNTIFS(TestCases[Story ID],$A33,TestCases[Type],"Positive")</f>
        <v>4</v>
      </c>
      <c r="F33" s="21">
        <f>COUNTIFS(TestCases[Story ID],$A33,TestCases[Type],"Negative")</f>
        <v>0</v>
      </c>
      <c r="G33" s="21">
        <f>COUNTIFS(TestCases[Story ID],$A33,TestCases[Type],"Security")</f>
        <v>3</v>
      </c>
      <c r="H33" s="21">
        <f>COUNTIFS(TestCases[Story ID],$A33,TestCases[Type],"Boundary")</f>
        <v>0</v>
      </c>
      <c r="I33" s="21">
        <f>COUNTIFS(TestCases[Story ID],$A33,TestCases[Status],"Not Run")</f>
        <v>7</v>
      </c>
      <c r="J33" s="21">
        <f>COUNTIFS(TestCases[Story ID],$A33,TestCases[Status],"Pass")</f>
        <v>0</v>
      </c>
      <c r="K33" s="21">
        <f>COUNTIFS(TestCases[Story ID],$A33,TestCases[Status],"Fail")</f>
        <v>0</v>
      </c>
      <c r="L33" s="21">
        <f>COUNTIFS(TestCases[Story ID],$A33,TestCases[Status],"Blocked")</f>
        <v>0</v>
      </c>
      <c r="M33" s="24">
        <f t="shared" si="0"/>
        <v>0</v>
      </c>
      <c r="N33" s="21" t="str">
        <f>'User Stories'!N33</f>
        <v xml:space="preserve">Aimen Abdullah </v>
      </c>
    </row>
    <row r="34" spans="1:14">
      <c r="A34" s="18" t="s">
        <v>238</v>
      </c>
      <c r="B34" s="19" t="str">
        <f>'User Stories'!D34</f>
        <v>Employee Profile Management</v>
      </c>
      <c r="C34" s="18" t="str">
        <f>'User Stories'!F34</f>
        <v>Medium</v>
      </c>
      <c r="D34" s="18">
        <f>COUNTIF(TestCases[Story ID],$A34)</f>
        <v>6</v>
      </c>
      <c r="E34" s="18">
        <f>COUNTIFS(TestCases[Story ID],$A34,TestCases[Type],"Positive")</f>
        <v>3</v>
      </c>
      <c r="F34" s="18">
        <f>COUNTIFS(TestCases[Story ID],$A34,TestCases[Type],"Negative")</f>
        <v>0</v>
      </c>
      <c r="G34" s="18">
        <f>COUNTIFS(TestCases[Story ID],$A34,TestCases[Type],"Security")</f>
        <v>3</v>
      </c>
      <c r="H34" s="18">
        <f>COUNTIFS(TestCases[Story ID],$A34,TestCases[Type],"Boundary")</f>
        <v>0</v>
      </c>
      <c r="I34" s="18">
        <f>COUNTIFS(TestCases[Story ID],$A34,TestCases[Status],"Not Run")</f>
        <v>6</v>
      </c>
      <c r="J34" s="18">
        <f>COUNTIFS(TestCases[Story ID],$A34,TestCases[Status],"Pass")</f>
        <v>0</v>
      </c>
      <c r="K34" s="18">
        <f>COUNTIFS(TestCases[Story ID],$A34,TestCases[Status],"Fail")</f>
        <v>0</v>
      </c>
      <c r="L34" s="18">
        <f>COUNTIFS(TestCases[Story ID],$A34,TestCases[Status],"Blocked")</f>
        <v>0</v>
      </c>
      <c r="M34" s="23">
        <f t="shared" ref="M34:M65" si="1">IF($D34=0,0,$J34/$D34)</f>
        <v>0</v>
      </c>
      <c r="N34" s="18" t="str">
        <f>'User Stories'!N34</f>
        <v>Taha Iftikhar</v>
      </c>
    </row>
    <row r="35" spans="1:14">
      <c r="A35" s="21" t="s">
        <v>242</v>
      </c>
      <c r="B35" s="22" t="str">
        <f>'User Stories'!D35</f>
        <v>Employee Profile Management</v>
      </c>
      <c r="C35" s="21" t="str">
        <f>'User Stories'!F35</f>
        <v>Medium</v>
      </c>
      <c r="D35" s="21">
        <f>COUNTIF(TestCases[Story ID],$A35)</f>
        <v>6</v>
      </c>
      <c r="E35" s="21">
        <f>COUNTIFS(TestCases[Story ID],$A35,TestCases[Type],"Positive")</f>
        <v>3</v>
      </c>
      <c r="F35" s="21">
        <f>COUNTIFS(TestCases[Story ID],$A35,TestCases[Type],"Negative")</f>
        <v>0</v>
      </c>
      <c r="G35" s="21">
        <f>COUNTIFS(TestCases[Story ID],$A35,TestCases[Type],"Security")</f>
        <v>3</v>
      </c>
      <c r="H35" s="21">
        <f>COUNTIFS(TestCases[Story ID],$A35,TestCases[Type],"Boundary")</f>
        <v>0</v>
      </c>
      <c r="I35" s="21">
        <f>COUNTIFS(TestCases[Story ID],$A35,TestCases[Status],"Not Run")</f>
        <v>6</v>
      </c>
      <c r="J35" s="21">
        <f>COUNTIFS(TestCases[Story ID],$A35,TestCases[Status],"Pass")</f>
        <v>0</v>
      </c>
      <c r="K35" s="21">
        <f>COUNTIFS(TestCases[Story ID],$A35,TestCases[Status],"Fail")</f>
        <v>0</v>
      </c>
      <c r="L35" s="21">
        <f>COUNTIFS(TestCases[Story ID],$A35,TestCases[Status],"Blocked")</f>
        <v>0</v>
      </c>
      <c r="M35" s="24">
        <f t="shared" si="1"/>
        <v>0</v>
      </c>
      <c r="N35" s="21" t="str">
        <f>'User Stories'!N35</f>
        <v>Taha Iftikhar</v>
      </c>
    </row>
    <row r="36" spans="1:14">
      <c r="A36" s="18" t="s">
        <v>246</v>
      </c>
      <c r="B36" s="19" t="str">
        <f>'User Stories'!D36</f>
        <v>Employee Profile Management</v>
      </c>
      <c r="C36" s="18" t="str">
        <f>'User Stories'!F36</f>
        <v>High</v>
      </c>
      <c r="D36" s="18">
        <f>COUNTIF(TestCases[Story ID],$A36)</f>
        <v>26</v>
      </c>
      <c r="E36" s="18">
        <f>COUNTIFS(TestCases[Story ID],$A36,TestCases[Type],"Positive")</f>
        <v>10</v>
      </c>
      <c r="F36" s="18">
        <f>COUNTIFS(TestCases[Story ID],$A36,TestCases[Type],"Negative")</f>
        <v>9</v>
      </c>
      <c r="G36" s="18">
        <f>COUNTIFS(TestCases[Story ID],$A36,TestCases[Type],"Security")</f>
        <v>7</v>
      </c>
      <c r="H36" s="18">
        <f>COUNTIFS(TestCases[Story ID],$A36,TestCases[Type],"Boundary")</f>
        <v>0</v>
      </c>
      <c r="I36" s="18">
        <f>COUNTIFS(TestCases[Story ID],$A36,TestCases[Status],"Not Run")</f>
        <v>26</v>
      </c>
      <c r="J36" s="18">
        <f>COUNTIFS(TestCases[Story ID],$A36,TestCases[Status],"Pass")</f>
        <v>0</v>
      </c>
      <c r="K36" s="18">
        <f>COUNTIFS(TestCases[Story ID],$A36,TestCases[Status],"Fail")</f>
        <v>0</v>
      </c>
      <c r="L36" s="18">
        <f>COUNTIFS(TestCases[Story ID],$A36,TestCases[Status],"Blocked")</f>
        <v>0</v>
      </c>
      <c r="M36" s="23">
        <f t="shared" si="1"/>
        <v>0</v>
      </c>
      <c r="N36" s="18" t="str">
        <f>'User Stories'!N36</f>
        <v>Hassan Farooqi</v>
      </c>
    </row>
    <row r="37" spans="1:14" ht="27.95">
      <c r="A37" s="21" t="s">
        <v>251</v>
      </c>
      <c r="B37" s="22" t="str">
        <f>'User Stories'!D37</f>
        <v>Document Management &amp; Verification</v>
      </c>
      <c r="C37" s="21" t="str">
        <f>'User Stories'!F37</f>
        <v>Critical</v>
      </c>
      <c r="D37" s="21">
        <f>COUNTIF(TestCases[Story ID],$A37)</f>
        <v>19</v>
      </c>
      <c r="E37" s="21">
        <f>COUNTIFS(TestCases[Story ID],$A37,TestCases[Type],"Positive")</f>
        <v>7</v>
      </c>
      <c r="F37" s="21">
        <f>COUNTIFS(TestCases[Story ID],$A37,TestCases[Type],"Negative")</f>
        <v>8</v>
      </c>
      <c r="G37" s="21">
        <f>COUNTIFS(TestCases[Story ID],$A37,TestCases[Type],"Security")</f>
        <v>3</v>
      </c>
      <c r="H37" s="21">
        <f>COUNTIFS(TestCases[Story ID],$A37,TestCases[Type],"Boundary")</f>
        <v>1</v>
      </c>
      <c r="I37" s="21">
        <f>COUNTIFS(TestCases[Story ID],$A37,TestCases[Status],"Not Run")</f>
        <v>19</v>
      </c>
      <c r="J37" s="21">
        <f>COUNTIFS(TestCases[Story ID],$A37,TestCases[Status],"Pass")</f>
        <v>0</v>
      </c>
      <c r="K37" s="21">
        <f>COUNTIFS(TestCases[Story ID],$A37,TestCases[Status],"Fail")</f>
        <v>0</v>
      </c>
      <c r="L37" s="21">
        <f>COUNTIFS(TestCases[Story ID],$A37,TestCases[Status],"Blocked")</f>
        <v>0</v>
      </c>
      <c r="M37" s="24">
        <f t="shared" si="1"/>
        <v>0</v>
      </c>
      <c r="N37" s="21" t="str">
        <f>'User Stories'!N37</f>
        <v>Hassan Farooqi</v>
      </c>
    </row>
    <row r="38" spans="1:14" ht="27.95">
      <c r="A38" s="18" t="s">
        <v>259</v>
      </c>
      <c r="B38" s="19" t="str">
        <f>'User Stories'!D38</f>
        <v>Document Management &amp; Verification</v>
      </c>
      <c r="C38" s="18" t="str">
        <f>'User Stories'!F38</f>
        <v>High</v>
      </c>
      <c r="D38" s="18">
        <f>COUNTIF(TestCases[Story ID],$A38)</f>
        <v>7</v>
      </c>
      <c r="E38" s="18">
        <f>COUNTIFS(TestCases[Story ID],$A38,TestCases[Type],"Positive")</f>
        <v>4</v>
      </c>
      <c r="F38" s="18">
        <f>COUNTIFS(TestCases[Story ID],$A38,TestCases[Type],"Negative")</f>
        <v>1</v>
      </c>
      <c r="G38" s="18">
        <f>COUNTIFS(TestCases[Story ID],$A38,TestCases[Type],"Security")</f>
        <v>2</v>
      </c>
      <c r="H38" s="18">
        <f>COUNTIFS(TestCases[Story ID],$A38,TestCases[Type],"Boundary")</f>
        <v>0</v>
      </c>
      <c r="I38" s="18">
        <f>COUNTIFS(TestCases[Story ID],$A38,TestCases[Status],"Not Run")</f>
        <v>7</v>
      </c>
      <c r="J38" s="18">
        <f>COUNTIFS(TestCases[Story ID],$A38,TestCases[Status],"Pass")</f>
        <v>0</v>
      </c>
      <c r="K38" s="18">
        <f>COUNTIFS(TestCases[Story ID],$A38,TestCases[Status],"Fail")</f>
        <v>0</v>
      </c>
      <c r="L38" s="18">
        <f>COUNTIFS(TestCases[Story ID],$A38,TestCases[Status],"Blocked")</f>
        <v>0</v>
      </c>
      <c r="M38" s="23">
        <f t="shared" si="1"/>
        <v>0</v>
      </c>
      <c r="N38" s="18" t="str">
        <f>'User Stories'!N38</f>
        <v>Sadaf Ashfaq</v>
      </c>
    </row>
    <row r="39" spans="1:14" ht="27.95">
      <c r="A39" s="21" t="s">
        <v>263</v>
      </c>
      <c r="B39" s="22" t="str">
        <f>'User Stories'!D39</f>
        <v>Document Management &amp; Verification</v>
      </c>
      <c r="C39" s="21" t="str">
        <f>'User Stories'!F39</f>
        <v>High</v>
      </c>
      <c r="D39" s="21">
        <f>COUNTIF(TestCases[Story ID],$A39)</f>
        <v>7</v>
      </c>
      <c r="E39" s="21">
        <f>COUNTIFS(TestCases[Story ID],$A39,TestCases[Type],"Positive")</f>
        <v>3</v>
      </c>
      <c r="F39" s="21">
        <f>COUNTIFS(TestCases[Story ID],$A39,TestCases[Type],"Negative")</f>
        <v>1</v>
      </c>
      <c r="G39" s="21">
        <f>COUNTIFS(TestCases[Story ID],$A39,TestCases[Type],"Security")</f>
        <v>3</v>
      </c>
      <c r="H39" s="21">
        <f>COUNTIFS(TestCases[Story ID],$A39,TestCases[Type],"Boundary")</f>
        <v>0</v>
      </c>
      <c r="I39" s="21">
        <f>COUNTIFS(TestCases[Story ID],$A39,TestCases[Status],"Not Run")</f>
        <v>7</v>
      </c>
      <c r="J39" s="21">
        <f>COUNTIFS(TestCases[Story ID],$A39,TestCases[Status],"Pass")</f>
        <v>0</v>
      </c>
      <c r="K39" s="21">
        <f>COUNTIFS(TestCases[Story ID],$A39,TestCases[Status],"Fail")</f>
        <v>0</v>
      </c>
      <c r="L39" s="21">
        <f>COUNTIFS(TestCases[Story ID],$A39,TestCases[Status],"Blocked")</f>
        <v>0</v>
      </c>
      <c r="M39" s="24">
        <f t="shared" si="1"/>
        <v>0</v>
      </c>
      <c r="N39" s="21" t="str">
        <f>'User Stories'!N39</f>
        <v>Sadaf Ashfaq</v>
      </c>
    </row>
    <row r="40" spans="1:14" ht="27.95">
      <c r="A40" s="18" t="s">
        <v>267</v>
      </c>
      <c r="B40" s="19" t="str">
        <f>'User Stories'!D40</f>
        <v>Document Management &amp; Verification</v>
      </c>
      <c r="C40" s="18" t="str">
        <f>'User Stories'!F40</f>
        <v>Medium</v>
      </c>
      <c r="D40" s="18">
        <f>COUNTIF(TestCases[Story ID],$A40)</f>
        <v>6</v>
      </c>
      <c r="E40" s="18">
        <f>COUNTIFS(TestCases[Story ID],$A40,TestCases[Type],"Positive")</f>
        <v>3</v>
      </c>
      <c r="F40" s="18">
        <f>COUNTIFS(TestCases[Story ID],$A40,TestCases[Type],"Negative")</f>
        <v>0</v>
      </c>
      <c r="G40" s="18">
        <f>COUNTIFS(TestCases[Story ID],$A40,TestCases[Type],"Security")</f>
        <v>3</v>
      </c>
      <c r="H40" s="18">
        <f>COUNTIFS(TestCases[Story ID],$A40,TestCases[Type],"Boundary")</f>
        <v>0</v>
      </c>
      <c r="I40" s="18">
        <f>COUNTIFS(TestCases[Story ID],$A40,TestCases[Status],"Not Run")</f>
        <v>6</v>
      </c>
      <c r="J40" s="18">
        <f>COUNTIFS(TestCases[Story ID],$A40,TestCases[Status],"Pass")</f>
        <v>0</v>
      </c>
      <c r="K40" s="18">
        <f>COUNTIFS(TestCases[Story ID],$A40,TestCases[Status],"Fail")</f>
        <v>0</v>
      </c>
      <c r="L40" s="18">
        <f>COUNTIFS(TestCases[Story ID],$A40,TestCases[Status],"Blocked")</f>
        <v>0</v>
      </c>
      <c r="M40" s="23">
        <f t="shared" si="1"/>
        <v>0</v>
      </c>
      <c r="N40" s="18" t="str">
        <f>'User Stories'!N40</f>
        <v>Sadaf Ashfaq</v>
      </c>
    </row>
    <row r="41" spans="1:14" ht="27.95">
      <c r="A41" s="21" t="s">
        <v>271</v>
      </c>
      <c r="B41" s="22" t="str">
        <f>'User Stories'!D41</f>
        <v>Document Management &amp; Verification</v>
      </c>
      <c r="C41" s="21" t="str">
        <f>'User Stories'!F41</f>
        <v>Critical</v>
      </c>
      <c r="D41" s="21">
        <f>COUNTIF(TestCases[Story ID],$A41)</f>
        <v>9</v>
      </c>
      <c r="E41" s="21">
        <f>COUNTIFS(TestCases[Story ID],$A41,TestCases[Type],"Positive")</f>
        <v>1</v>
      </c>
      <c r="F41" s="21">
        <f>COUNTIFS(TestCases[Story ID],$A41,TestCases[Type],"Negative")</f>
        <v>4</v>
      </c>
      <c r="G41" s="21">
        <f>COUNTIFS(TestCases[Story ID],$A41,TestCases[Type],"Security")</f>
        <v>3</v>
      </c>
      <c r="H41" s="21">
        <f>COUNTIFS(TestCases[Story ID],$A41,TestCases[Type],"Boundary")</f>
        <v>1</v>
      </c>
      <c r="I41" s="21">
        <f>COUNTIFS(TestCases[Story ID],$A41,TestCases[Status],"Not Run")</f>
        <v>9</v>
      </c>
      <c r="J41" s="21">
        <f>COUNTIFS(TestCases[Story ID],$A41,TestCases[Status],"Pass")</f>
        <v>0</v>
      </c>
      <c r="K41" s="21">
        <f>COUNTIFS(TestCases[Story ID],$A41,TestCases[Status],"Fail")</f>
        <v>0</v>
      </c>
      <c r="L41" s="21">
        <f>COUNTIFS(TestCases[Story ID],$A41,TestCases[Status],"Blocked")</f>
        <v>0</v>
      </c>
      <c r="M41" s="24">
        <f t="shared" si="1"/>
        <v>0</v>
      </c>
      <c r="N41" s="21" t="str">
        <f>'User Stories'!N41</f>
        <v>Taha Iftikhar</v>
      </c>
    </row>
    <row r="42" spans="1:14" ht="27.95">
      <c r="A42" s="18" t="s">
        <v>276</v>
      </c>
      <c r="B42" s="19" t="str">
        <f>'User Stories'!D42</f>
        <v>Document Management &amp; Verification</v>
      </c>
      <c r="C42" s="18" t="str">
        <f>'User Stories'!F42</f>
        <v>Critical</v>
      </c>
      <c r="D42" s="18">
        <f>COUNTIF(TestCases[Story ID],$A42)</f>
        <v>9</v>
      </c>
      <c r="E42" s="18">
        <f>COUNTIFS(TestCases[Story ID],$A42,TestCases[Type],"Positive")</f>
        <v>5</v>
      </c>
      <c r="F42" s="18">
        <f>COUNTIFS(TestCases[Story ID],$A42,TestCases[Type],"Negative")</f>
        <v>3</v>
      </c>
      <c r="G42" s="18">
        <f>COUNTIFS(TestCases[Story ID],$A42,TestCases[Type],"Security")</f>
        <v>1</v>
      </c>
      <c r="H42" s="18">
        <f>COUNTIFS(TestCases[Story ID],$A42,TestCases[Type],"Boundary")</f>
        <v>0</v>
      </c>
      <c r="I42" s="18">
        <f>COUNTIFS(TestCases[Story ID],$A42,TestCases[Status],"Not Run")</f>
        <v>9</v>
      </c>
      <c r="J42" s="18">
        <f>COUNTIFS(TestCases[Story ID],$A42,TestCases[Status],"Pass")</f>
        <v>0</v>
      </c>
      <c r="K42" s="18">
        <f>COUNTIFS(TestCases[Story ID],$A42,TestCases[Status],"Fail")</f>
        <v>0</v>
      </c>
      <c r="L42" s="18">
        <f>COUNTIFS(TestCases[Story ID],$A42,TestCases[Status],"Blocked")</f>
        <v>0</v>
      </c>
      <c r="M42" s="23">
        <f t="shared" si="1"/>
        <v>0</v>
      </c>
      <c r="N42" s="18" t="str">
        <f>'User Stories'!N42</f>
        <v>Taha Iftikhar</v>
      </c>
    </row>
    <row r="43" spans="1:14" ht="27.95">
      <c r="A43" s="21" t="s">
        <v>282</v>
      </c>
      <c r="B43" s="22" t="str">
        <f>'User Stories'!D43</f>
        <v>Document Management &amp; Verification</v>
      </c>
      <c r="C43" s="21" t="str">
        <f>'User Stories'!F43</f>
        <v>Critical</v>
      </c>
      <c r="D43" s="21">
        <f>COUNTIF(TestCases[Story ID],$A43)</f>
        <v>6</v>
      </c>
      <c r="E43" s="21">
        <f>COUNTIFS(TestCases[Story ID],$A43,TestCases[Type],"Positive")</f>
        <v>3</v>
      </c>
      <c r="F43" s="21">
        <f>COUNTIFS(TestCases[Story ID],$A43,TestCases[Type],"Negative")</f>
        <v>1</v>
      </c>
      <c r="G43" s="21">
        <f>COUNTIFS(TestCases[Story ID],$A43,TestCases[Type],"Security")</f>
        <v>2</v>
      </c>
      <c r="H43" s="21">
        <f>COUNTIFS(TestCases[Story ID],$A43,TestCases[Type],"Boundary")</f>
        <v>0</v>
      </c>
      <c r="I43" s="21">
        <f>COUNTIFS(TestCases[Story ID],$A43,TestCases[Status],"Not Run")</f>
        <v>6</v>
      </c>
      <c r="J43" s="21">
        <f>COUNTIFS(TestCases[Story ID],$A43,TestCases[Status],"Pass")</f>
        <v>0</v>
      </c>
      <c r="K43" s="21">
        <f>COUNTIFS(TestCases[Story ID],$A43,TestCases[Status],"Fail")</f>
        <v>0</v>
      </c>
      <c r="L43" s="21">
        <f>COUNTIFS(TestCases[Story ID],$A43,TestCases[Status],"Blocked")</f>
        <v>0</v>
      </c>
      <c r="M43" s="24">
        <f t="shared" si="1"/>
        <v>0</v>
      </c>
      <c r="N43" s="21" t="str">
        <f>'User Stories'!N43</f>
        <v>Taha Iftikhar</v>
      </c>
    </row>
    <row r="44" spans="1:14" ht="27.95">
      <c r="A44" s="18" t="s">
        <v>286</v>
      </c>
      <c r="B44" s="19" t="str">
        <f>'User Stories'!D44</f>
        <v>Document Management &amp; Verification</v>
      </c>
      <c r="C44" s="18" t="str">
        <f>'User Stories'!F44</f>
        <v>Medium</v>
      </c>
      <c r="D44" s="18">
        <f>COUNTIF(TestCases[Story ID],$A44)</f>
        <v>6</v>
      </c>
      <c r="E44" s="18">
        <f>COUNTIFS(TestCases[Story ID],$A44,TestCases[Type],"Positive")</f>
        <v>2</v>
      </c>
      <c r="F44" s="18">
        <f>COUNTIFS(TestCases[Story ID],$A44,TestCases[Type],"Negative")</f>
        <v>1</v>
      </c>
      <c r="G44" s="18">
        <f>COUNTIFS(TestCases[Story ID],$A44,TestCases[Type],"Security")</f>
        <v>3</v>
      </c>
      <c r="H44" s="18">
        <f>COUNTIFS(TestCases[Story ID],$A44,TestCases[Type],"Boundary")</f>
        <v>0</v>
      </c>
      <c r="I44" s="18">
        <f>COUNTIFS(TestCases[Story ID],$A44,TestCases[Status],"Not Run")</f>
        <v>6</v>
      </c>
      <c r="J44" s="18">
        <f>COUNTIFS(TestCases[Story ID],$A44,TestCases[Status],"Pass")</f>
        <v>0</v>
      </c>
      <c r="K44" s="18">
        <f>COUNTIFS(TestCases[Story ID],$A44,TestCases[Status],"Fail")</f>
        <v>0</v>
      </c>
      <c r="L44" s="18">
        <f>COUNTIFS(TestCases[Story ID],$A44,TestCases[Status],"Blocked")</f>
        <v>0</v>
      </c>
      <c r="M44" s="23">
        <f t="shared" si="1"/>
        <v>0</v>
      </c>
      <c r="N44" s="18" t="str">
        <f>'User Stories'!N44</f>
        <v>Faris Dosani</v>
      </c>
    </row>
    <row r="45" spans="1:14" ht="27.95">
      <c r="A45" s="21" t="s">
        <v>290</v>
      </c>
      <c r="B45" s="22" t="str">
        <f>'User Stories'!D45</f>
        <v>Document Management &amp; Verification</v>
      </c>
      <c r="C45" s="21" t="str">
        <f>'User Stories'!F45</f>
        <v>Medium</v>
      </c>
      <c r="D45" s="21">
        <f>COUNTIF(TestCases[Story ID],$A45)</f>
        <v>7</v>
      </c>
      <c r="E45" s="21">
        <f>COUNTIFS(TestCases[Story ID],$A45,TestCases[Type],"Positive")</f>
        <v>3</v>
      </c>
      <c r="F45" s="21">
        <f>COUNTIFS(TestCases[Story ID],$A45,TestCases[Type],"Negative")</f>
        <v>1</v>
      </c>
      <c r="G45" s="21">
        <f>COUNTIFS(TestCases[Story ID],$A45,TestCases[Type],"Security")</f>
        <v>3</v>
      </c>
      <c r="H45" s="21">
        <f>COUNTIFS(TestCases[Story ID],$A45,TestCases[Type],"Boundary")</f>
        <v>0</v>
      </c>
      <c r="I45" s="21">
        <f>COUNTIFS(TestCases[Story ID],$A45,TestCases[Status],"Not Run")</f>
        <v>7</v>
      </c>
      <c r="J45" s="21">
        <f>COUNTIFS(TestCases[Story ID],$A45,TestCases[Status],"Pass")</f>
        <v>0</v>
      </c>
      <c r="K45" s="21">
        <f>COUNTIFS(TestCases[Story ID],$A45,TestCases[Status],"Fail")</f>
        <v>0</v>
      </c>
      <c r="L45" s="21">
        <f>COUNTIFS(TestCases[Story ID],$A45,TestCases[Status],"Blocked")</f>
        <v>0</v>
      </c>
      <c r="M45" s="24">
        <f t="shared" si="1"/>
        <v>0</v>
      </c>
      <c r="N45" s="21" t="str">
        <f>'User Stories'!N45</f>
        <v>Faris Dosani</v>
      </c>
    </row>
    <row r="46" spans="1:14" ht="27.95">
      <c r="A46" s="18" t="s">
        <v>294</v>
      </c>
      <c r="B46" s="19" t="str">
        <f>'User Stories'!D46</f>
        <v>Document Management &amp; Verification</v>
      </c>
      <c r="C46" s="18" t="str">
        <f>'User Stories'!F46</f>
        <v>Critical</v>
      </c>
      <c r="D46" s="18">
        <f>COUNTIF(TestCases[Story ID],$A46)</f>
        <v>10</v>
      </c>
      <c r="E46" s="18">
        <f>COUNTIFS(TestCases[Story ID],$A46,TestCases[Type],"Positive")</f>
        <v>5</v>
      </c>
      <c r="F46" s="18">
        <f>COUNTIFS(TestCases[Story ID],$A46,TestCases[Type],"Negative")</f>
        <v>2</v>
      </c>
      <c r="G46" s="18">
        <f>COUNTIFS(TestCases[Story ID],$A46,TestCases[Type],"Security")</f>
        <v>3</v>
      </c>
      <c r="H46" s="18">
        <f>COUNTIFS(TestCases[Story ID],$A46,TestCases[Type],"Boundary")</f>
        <v>0</v>
      </c>
      <c r="I46" s="18">
        <f>COUNTIFS(TestCases[Story ID],$A46,TestCases[Status],"Not Run")</f>
        <v>10</v>
      </c>
      <c r="J46" s="18">
        <f>COUNTIFS(TestCases[Story ID],$A46,TestCases[Status],"Pass")</f>
        <v>0</v>
      </c>
      <c r="K46" s="18">
        <f>COUNTIFS(TestCases[Story ID],$A46,TestCases[Status],"Fail")</f>
        <v>0</v>
      </c>
      <c r="L46" s="18">
        <f>COUNTIFS(TestCases[Story ID],$A46,TestCases[Status],"Blocked")</f>
        <v>0</v>
      </c>
      <c r="M46" s="23">
        <f t="shared" si="1"/>
        <v>0</v>
      </c>
      <c r="N46" s="18" t="str">
        <f>'User Stories'!N46</f>
        <v>Faris Dosani</v>
      </c>
    </row>
    <row r="47" spans="1:14" ht="27.95">
      <c r="A47" s="21" t="s">
        <v>299</v>
      </c>
      <c r="B47" s="22" t="str">
        <f>'User Stories'!D47</f>
        <v>Document Management &amp; Verification</v>
      </c>
      <c r="C47" s="21" t="str">
        <f>'User Stories'!F47</f>
        <v>Critical</v>
      </c>
      <c r="D47" s="21">
        <f>COUNTIF(TestCases[Story ID],$A47)</f>
        <v>6</v>
      </c>
      <c r="E47" s="21">
        <f>COUNTIFS(TestCases[Story ID],$A47,TestCases[Type],"Positive")</f>
        <v>3</v>
      </c>
      <c r="F47" s="21">
        <f>COUNTIFS(TestCases[Story ID],$A47,TestCases[Type],"Negative")</f>
        <v>0</v>
      </c>
      <c r="G47" s="21">
        <f>COUNTIFS(TestCases[Story ID],$A47,TestCases[Type],"Security")</f>
        <v>3</v>
      </c>
      <c r="H47" s="21">
        <f>COUNTIFS(TestCases[Story ID],$A47,TestCases[Type],"Boundary")</f>
        <v>0</v>
      </c>
      <c r="I47" s="21">
        <f>COUNTIFS(TestCases[Story ID],$A47,TestCases[Status],"Not Run")</f>
        <v>6</v>
      </c>
      <c r="J47" s="21">
        <f>COUNTIFS(TestCases[Story ID],$A47,TestCases[Status],"Pass")</f>
        <v>0</v>
      </c>
      <c r="K47" s="21">
        <f>COUNTIFS(TestCases[Story ID],$A47,TestCases[Status],"Fail")</f>
        <v>0</v>
      </c>
      <c r="L47" s="21">
        <f>COUNTIFS(TestCases[Story ID],$A47,TestCases[Status],"Blocked")</f>
        <v>0</v>
      </c>
      <c r="M47" s="24">
        <f t="shared" si="1"/>
        <v>0</v>
      </c>
      <c r="N47" s="21" t="str">
        <f>'User Stories'!N47</f>
        <v>Hassan Farooqi</v>
      </c>
    </row>
    <row r="48" spans="1:14" ht="27.95">
      <c r="A48" s="18" t="s">
        <v>303</v>
      </c>
      <c r="B48" s="19" t="str">
        <f>'User Stories'!D48</f>
        <v>Document Management &amp; Verification</v>
      </c>
      <c r="C48" s="18" t="str">
        <f>'User Stories'!F48</f>
        <v>Medium</v>
      </c>
      <c r="D48" s="18">
        <f>COUNTIF(TestCases[Story ID],$A48)</f>
        <v>6</v>
      </c>
      <c r="E48" s="18">
        <f>COUNTIFS(TestCases[Story ID],$A48,TestCases[Type],"Positive")</f>
        <v>3</v>
      </c>
      <c r="F48" s="18">
        <f>COUNTIFS(TestCases[Story ID],$A48,TestCases[Type],"Negative")</f>
        <v>0</v>
      </c>
      <c r="G48" s="18">
        <f>COUNTIFS(TestCases[Story ID],$A48,TestCases[Type],"Security")</f>
        <v>3</v>
      </c>
      <c r="H48" s="18">
        <f>COUNTIFS(TestCases[Story ID],$A48,TestCases[Type],"Boundary")</f>
        <v>0</v>
      </c>
      <c r="I48" s="18">
        <f>COUNTIFS(TestCases[Story ID],$A48,TestCases[Status],"Not Run")</f>
        <v>6</v>
      </c>
      <c r="J48" s="18">
        <f>COUNTIFS(TestCases[Story ID],$A48,TestCases[Status],"Pass")</f>
        <v>0</v>
      </c>
      <c r="K48" s="18">
        <f>COUNTIFS(TestCases[Story ID],$A48,TestCases[Status],"Fail")</f>
        <v>0</v>
      </c>
      <c r="L48" s="18">
        <f>COUNTIFS(TestCases[Story ID],$A48,TestCases[Status],"Blocked")</f>
        <v>0</v>
      </c>
      <c r="M48" s="23">
        <f t="shared" si="1"/>
        <v>0</v>
      </c>
      <c r="N48" s="18" t="str">
        <f>'User Stories'!N48</f>
        <v>Hassan Farooqi</v>
      </c>
    </row>
    <row r="49" spans="1:14" ht="27.95">
      <c r="A49" s="21" t="s">
        <v>307</v>
      </c>
      <c r="B49" s="22" t="str">
        <f>'User Stories'!D49</f>
        <v>Document Management &amp; Verification</v>
      </c>
      <c r="C49" s="21" t="str">
        <f>'User Stories'!F49</f>
        <v>Medium</v>
      </c>
      <c r="D49" s="21">
        <f>COUNTIF(TestCases[Story ID],$A49)</f>
        <v>6</v>
      </c>
      <c r="E49" s="21">
        <f>COUNTIFS(TestCases[Story ID],$A49,TestCases[Type],"Positive")</f>
        <v>3</v>
      </c>
      <c r="F49" s="21">
        <f>COUNTIFS(TestCases[Story ID],$A49,TestCases[Type],"Negative")</f>
        <v>0</v>
      </c>
      <c r="G49" s="21">
        <f>COUNTIFS(TestCases[Story ID],$A49,TestCases[Type],"Security")</f>
        <v>3</v>
      </c>
      <c r="H49" s="21">
        <f>COUNTIFS(TestCases[Story ID],$A49,TestCases[Type],"Boundary")</f>
        <v>0</v>
      </c>
      <c r="I49" s="21">
        <f>COUNTIFS(TestCases[Story ID],$A49,TestCases[Status],"Not Run")</f>
        <v>6</v>
      </c>
      <c r="J49" s="21">
        <f>COUNTIFS(TestCases[Story ID],$A49,TestCases[Status],"Pass")</f>
        <v>0</v>
      </c>
      <c r="K49" s="21">
        <f>COUNTIFS(TestCases[Story ID],$A49,TestCases[Status],"Fail")</f>
        <v>0</v>
      </c>
      <c r="L49" s="21">
        <f>COUNTIFS(TestCases[Story ID],$A49,TestCases[Status],"Blocked")</f>
        <v>0</v>
      </c>
      <c r="M49" s="24">
        <f t="shared" si="1"/>
        <v>0</v>
      </c>
      <c r="N49" s="21" t="str">
        <f>'User Stories'!N49</f>
        <v>Hassan Farooqi</v>
      </c>
    </row>
    <row r="50" spans="1:14" ht="27.95">
      <c r="A50" s="18" t="s">
        <v>311</v>
      </c>
      <c r="B50" s="19" t="str">
        <f>'User Stories'!D50</f>
        <v>Document Management &amp; Verification</v>
      </c>
      <c r="C50" s="18" t="str">
        <f>'User Stories'!F50</f>
        <v>High</v>
      </c>
      <c r="D50" s="18">
        <f>COUNTIF(TestCases[Story ID],$A50)</f>
        <v>6</v>
      </c>
      <c r="E50" s="18">
        <f>COUNTIFS(TestCases[Story ID],$A50,TestCases[Type],"Positive")</f>
        <v>3</v>
      </c>
      <c r="F50" s="18">
        <f>COUNTIFS(TestCases[Story ID],$A50,TestCases[Type],"Negative")</f>
        <v>0</v>
      </c>
      <c r="G50" s="18">
        <f>COUNTIFS(TestCases[Story ID],$A50,TestCases[Type],"Security")</f>
        <v>3</v>
      </c>
      <c r="H50" s="18">
        <f>COUNTIFS(TestCases[Story ID],$A50,TestCases[Type],"Boundary")</f>
        <v>0</v>
      </c>
      <c r="I50" s="18">
        <f>COUNTIFS(TestCases[Story ID],$A50,TestCases[Status],"Not Run")</f>
        <v>6</v>
      </c>
      <c r="J50" s="18">
        <f>COUNTIFS(TestCases[Story ID],$A50,TestCases[Status],"Pass")</f>
        <v>0</v>
      </c>
      <c r="K50" s="18">
        <f>COUNTIFS(TestCases[Story ID],$A50,TestCases[Status],"Fail")</f>
        <v>0</v>
      </c>
      <c r="L50" s="18">
        <f>COUNTIFS(TestCases[Story ID],$A50,TestCases[Status],"Blocked")</f>
        <v>0</v>
      </c>
      <c r="M50" s="23">
        <f t="shared" si="1"/>
        <v>0</v>
      </c>
      <c r="N50" s="18" t="str">
        <f>'User Stories'!N50</f>
        <v>Syed Omer Ahmed Shamsi</v>
      </c>
    </row>
    <row r="51" spans="1:14" ht="27.95">
      <c r="A51" s="21" t="s">
        <v>315</v>
      </c>
      <c r="B51" s="22" t="str">
        <f>'User Stories'!D51</f>
        <v>Document Management &amp; Verification</v>
      </c>
      <c r="C51" s="21" t="str">
        <f>'User Stories'!F51</f>
        <v>Critical</v>
      </c>
      <c r="D51" s="21">
        <f>COUNTIF(TestCases[Story ID],$A51)</f>
        <v>20</v>
      </c>
      <c r="E51" s="21">
        <f>COUNTIFS(TestCases[Story ID],$A51,TestCases[Type],"Positive")</f>
        <v>8</v>
      </c>
      <c r="F51" s="21">
        <f>COUNTIFS(TestCases[Story ID],$A51,TestCases[Type],"Negative")</f>
        <v>9</v>
      </c>
      <c r="G51" s="21">
        <f>COUNTIFS(TestCases[Story ID],$A51,TestCases[Type],"Security")</f>
        <v>3</v>
      </c>
      <c r="H51" s="21">
        <f>COUNTIFS(TestCases[Story ID],$A51,TestCases[Type],"Boundary")</f>
        <v>0</v>
      </c>
      <c r="I51" s="21">
        <f>COUNTIFS(TestCases[Story ID],$A51,TestCases[Status],"Not Run")</f>
        <v>20</v>
      </c>
      <c r="J51" s="21">
        <f>COUNTIFS(TestCases[Story ID],$A51,TestCases[Status],"Pass")</f>
        <v>0</v>
      </c>
      <c r="K51" s="21">
        <f>COUNTIFS(TestCases[Story ID],$A51,TestCases[Status],"Fail")</f>
        <v>0</v>
      </c>
      <c r="L51" s="21">
        <f>COUNTIFS(TestCases[Story ID],$A51,TestCases[Status],"Blocked")</f>
        <v>0</v>
      </c>
      <c r="M51" s="24">
        <f t="shared" si="1"/>
        <v>0</v>
      </c>
      <c r="N51" s="21" t="str">
        <f>'User Stories'!N51</f>
        <v>Syed Omer Ahmed Shamsi</v>
      </c>
    </row>
    <row r="52" spans="1:14">
      <c r="A52" s="18" t="s">
        <v>321</v>
      </c>
      <c r="B52" s="19" t="str">
        <f>'User Stories'!D52</f>
        <v>Digital Onboarding Workflow</v>
      </c>
      <c r="C52" s="18" t="str">
        <f>'User Stories'!F52</f>
        <v>Critical</v>
      </c>
      <c r="D52" s="18">
        <f>COUNTIF(TestCases[Story ID],$A52)</f>
        <v>11</v>
      </c>
      <c r="E52" s="18">
        <f>COUNTIFS(TestCases[Story ID],$A52,TestCases[Type],"Positive")</f>
        <v>6</v>
      </c>
      <c r="F52" s="18">
        <f>COUNTIFS(TestCases[Story ID],$A52,TestCases[Type],"Negative")</f>
        <v>2</v>
      </c>
      <c r="G52" s="18">
        <f>COUNTIFS(TestCases[Story ID],$A52,TestCases[Type],"Security")</f>
        <v>3</v>
      </c>
      <c r="H52" s="18">
        <f>COUNTIFS(TestCases[Story ID],$A52,TestCases[Type],"Boundary")</f>
        <v>0</v>
      </c>
      <c r="I52" s="18">
        <f>COUNTIFS(TestCases[Story ID],$A52,TestCases[Status],"Not Run")</f>
        <v>11</v>
      </c>
      <c r="J52" s="18">
        <f>COUNTIFS(TestCases[Story ID],$A52,TestCases[Status],"Pass")</f>
        <v>0</v>
      </c>
      <c r="K52" s="18">
        <f>COUNTIFS(TestCases[Story ID],$A52,TestCases[Status],"Fail")</f>
        <v>0</v>
      </c>
      <c r="L52" s="18">
        <f>COUNTIFS(TestCases[Story ID],$A52,TestCases[Status],"Blocked")</f>
        <v>0</v>
      </c>
      <c r="M52" s="23">
        <f t="shared" si="1"/>
        <v>0</v>
      </c>
      <c r="N52" s="18" t="str">
        <f>'User Stories'!N52</f>
        <v>Syed Omer Ahmed Shamsi</v>
      </c>
    </row>
    <row r="53" spans="1:14">
      <c r="A53" s="21" t="s">
        <v>328</v>
      </c>
      <c r="B53" s="22" t="str">
        <f>'User Stories'!D53</f>
        <v>Digital Onboarding Workflow</v>
      </c>
      <c r="C53" s="21" t="str">
        <f>'User Stories'!F53</f>
        <v>Critical</v>
      </c>
      <c r="D53" s="21">
        <f>COUNTIF(TestCases[Story ID],$A53)</f>
        <v>6</v>
      </c>
      <c r="E53" s="21">
        <f>COUNTIFS(TestCases[Story ID],$A53,TestCases[Type],"Positive")</f>
        <v>5</v>
      </c>
      <c r="F53" s="21">
        <f>COUNTIFS(TestCases[Story ID],$A53,TestCases[Type],"Negative")</f>
        <v>1</v>
      </c>
      <c r="G53" s="21">
        <f>COUNTIFS(TestCases[Story ID],$A53,TestCases[Type],"Security")</f>
        <v>0</v>
      </c>
      <c r="H53" s="21">
        <f>COUNTIFS(TestCases[Story ID],$A53,TestCases[Type],"Boundary")</f>
        <v>0</v>
      </c>
      <c r="I53" s="21">
        <f>COUNTIFS(TestCases[Story ID],$A53,TestCases[Status],"Not Run")</f>
        <v>6</v>
      </c>
      <c r="J53" s="21">
        <f>COUNTIFS(TestCases[Story ID],$A53,TestCases[Status],"Pass")</f>
        <v>0</v>
      </c>
      <c r="K53" s="21">
        <f>COUNTIFS(TestCases[Story ID],$A53,TestCases[Status],"Fail")</f>
        <v>0</v>
      </c>
      <c r="L53" s="21">
        <f>COUNTIFS(TestCases[Story ID],$A53,TestCases[Status],"Blocked")</f>
        <v>0</v>
      </c>
      <c r="M53" s="24">
        <f t="shared" si="1"/>
        <v>0</v>
      </c>
      <c r="N53" s="21" t="str">
        <f>'User Stories'!N53</f>
        <v xml:space="preserve">Aimen Abdullah </v>
      </c>
    </row>
    <row r="54" spans="1:14">
      <c r="A54" s="18" t="s">
        <v>332</v>
      </c>
      <c r="B54" s="19" t="str">
        <f>'User Stories'!D54</f>
        <v>Digital Onboarding Workflow</v>
      </c>
      <c r="C54" s="18" t="str">
        <f>'User Stories'!F54</f>
        <v>High</v>
      </c>
      <c r="D54" s="18">
        <f>COUNTIF(TestCases[Story ID],$A54)</f>
        <v>8</v>
      </c>
      <c r="E54" s="18">
        <f>COUNTIFS(TestCases[Story ID],$A54,TestCases[Type],"Positive")</f>
        <v>5</v>
      </c>
      <c r="F54" s="18">
        <f>COUNTIFS(TestCases[Story ID],$A54,TestCases[Type],"Negative")</f>
        <v>1</v>
      </c>
      <c r="G54" s="18">
        <f>COUNTIFS(TestCases[Story ID],$A54,TestCases[Type],"Security")</f>
        <v>2</v>
      </c>
      <c r="H54" s="18">
        <f>COUNTIFS(TestCases[Story ID],$A54,TestCases[Type],"Boundary")</f>
        <v>0</v>
      </c>
      <c r="I54" s="18">
        <f>COUNTIFS(TestCases[Story ID],$A54,TestCases[Status],"Not Run")</f>
        <v>8</v>
      </c>
      <c r="J54" s="18">
        <f>COUNTIFS(TestCases[Story ID],$A54,TestCases[Status],"Pass")</f>
        <v>0</v>
      </c>
      <c r="K54" s="18">
        <f>COUNTIFS(TestCases[Story ID],$A54,TestCases[Status],"Fail")</f>
        <v>0</v>
      </c>
      <c r="L54" s="18">
        <f>COUNTIFS(TestCases[Story ID],$A54,TestCases[Status],"Blocked")</f>
        <v>0</v>
      </c>
      <c r="M54" s="23">
        <f t="shared" si="1"/>
        <v>0</v>
      </c>
      <c r="N54" s="18" t="str">
        <f>'User Stories'!N54</f>
        <v xml:space="preserve">Aimen Abdullah </v>
      </c>
    </row>
    <row r="55" spans="1:14">
      <c r="A55" s="21" t="s">
        <v>336</v>
      </c>
      <c r="B55" s="22" t="str">
        <f>'User Stories'!D55</f>
        <v>Digital Onboarding Workflow</v>
      </c>
      <c r="C55" s="21" t="str">
        <f>'User Stories'!F55</f>
        <v>High</v>
      </c>
      <c r="D55" s="21">
        <f>COUNTIF(TestCases[Story ID],$A55)</f>
        <v>7</v>
      </c>
      <c r="E55" s="21">
        <f>COUNTIFS(TestCases[Story ID],$A55,TestCases[Type],"Positive")</f>
        <v>4</v>
      </c>
      <c r="F55" s="21">
        <f>COUNTIFS(TestCases[Story ID],$A55,TestCases[Type],"Negative")</f>
        <v>0</v>
      </c>
      <c r="G55" s="21">
        <f>COUNTIFS(TestCases[Story ID],$A55,TestCases[Type],"Security")</f>
        <v>3</v>
      </c>
      <c r="H55" s="21">
        <f>COUNTIFS(TestCases[Story ID],$A55,TestCases[Type],"Boundary")</f>
        <v>0</v>
      </c>
      <c r="I55" s="21">
        <f>COUNTIFS(TestCases[Story ID],$A55,TestCases[Status],"Not Run")</f>
        <v>7</v>
      </c>
      <c r="J55" s="21">
        <f>COUNTIFS(TestCases[Story ID],$A55,TestCases[Status],"Pass")</f>
        <v>0</v>
      </c>
      <c r="K55" s="21">
        <f>COUNTIFS(TestCases[Story ID],$A55,TestCases[Status],"Fail")</f>
        <v>0</v>
      </c>
      <c r="L55" s="21">
        <f>COUNTIFS(TestCases[Story ID],$A55,TestCases[Status],"Blocked")</f>
        <v>0</v>
      </c>
      <c r="M55" s="24">
        <f t="shared" si="1"/>
        <v>0</v>
      </c>
      <c r="N55" s="21" t="str">
        <f>'User Stories'!N55</f>
        <v xml:space="preserve">Aimen Abdullah </v>
      </c>
    </row>
    <row r="56" spans="1:14">
      <c r="A56" s="18" t="s">
        <v>340</v>
      </c>
      <c r="B56" s="19" t="str">
        <f>'User Stories'!D56</f>
        <v>Digital Onboarding Workflow</v>
      </c>
      <c r="C56" s="18" t="str">
        <f>'User Stories'!F56</f>
        <v>Medium</v>
      </c>
      <c r="D56" s="18">
        <f>COUNTIF(TestCases[Story ID],$A56)</f>
        <v>5</v>
      </c>
      <c r="E56" s="18">
        <f>COUNTIFS(TestCases[Story ID],$A56,TestCases[Type],"Positive")</f>
        <v>1</v>
      </c>
      <c r="F56" s="18">
        <f>COUNTIFS(TestCases[Story ID],$A56,TestCases[Type],"Negative")</f>
        <v>1</v>
      </c>
      <c r="G56" s="18">
        <f>COUNTIFS(TestCases[Story ID],$A56,TestCases[Type],"Security")</f>
        <v>3</v>
      </c>
      <c r="H56" s="18">
        <f>COUNTIFS(TestCases[Story ID],$A56,TestCases[Type],"Boundary")</f>
        <v>0</v>
      </c>
      <c r="I56" s="18">
        <f>COUNTIFS(TestCases[Story ID],$A56,TestCases[Status],"Not Run")</f>
        <v>5</v>
      </c>
      <c r="J56" s="18">
        <f>COUNTIFS(TestCases[Story ID],$A56,TestCases[Status],"Pass")</f>
        <v>0</v>
      </c>
      <c r="K56" s="18">
        <f>COUNTIFS(TestCases[Story ID],$A56,TestCases[Status],"Fail")</f>
        <v>0</v>
      </c>
      <c r="L56" s="18">
        <f>COUNTIFS(TestCases[Story ID],$A56,TestCases[Status],"Blocked")</f>
        <v>0</v>
      </c>
      <c r="M56" s="23">
        <f t="shared" si="1"/>
        <v>0</v>
      </c>
      <c r="N56" s="18" t="str">
        <f>'User Stories'!N56</f>
        <v>Sadaf Ashfaq</v>
      </c>
    </row>
    <row r="57" spans="1:14">
      <c r="A57" s="21" t="s">
        <v>343</v>
      </c>
      <c r="B57" s="22" t="str">
        <f>'User Stories'!D57</f>
        <v>Digital Onboarding Workflow</v>
      </c>
      <c r="C57" s="21" t="str">
        <f>'User Stories'!F57</f>
        <v>Critical</v>
      </c>
      <c r="D57" s="21">
        <f>COUNTIF(TestCases[Story ID],$A57)</f>
        <v>8</v>
      </c>
      <c r="E57" s="21">
        <f>COUNTIFS(TestCases[Story ID],$A57,TestCases[Type],"Positive")</f>
        <v>4</v>
      </c>
      <c r="F57" s="21">
        <f>COUNTIFS(TestCases[Story ID],$A57,TestCases[Type],"Negative")</f>
        <v>2</v>
      </c>
      <c r="G57" s="21">
        <f>COUNTIFS(TestCases[Story ID],$A57,TestCases[Type],"Security")</f>
        <v>2</v>
      </c>
      <c r="H57" s="21">
        <f>COUNTIFS(TestCases[Story ID],$A57,TestCases[Type],"Boundary")</f>
        <v>0</v>
      </c>
      <c r="I57" s="21">
        <f>COUNTIFS(TestCases[Story ID],$A57,TestCases[Status],"Not Run")</f>
        <v>8</v>
      </c>
      <c r="J57" s="21">
        <f>COUNTIFS(TestCases[Story ID],$A57,TestCases[Status],"Pass")</f>
        <v>0</v>
      </c>
      <c r="K57" s="21">
        <f>COUNTIFS(TestCases[Story ID],$A57,TestCases[Status],"Fail")</f>
        <v>0</v>
      </c>
      <c r="L57" s="21">
        <f>COUNTIFS(TestCases[Story ID],$A57,TestCases[Status],"Blocked")</f>
        <v>0</v>
      </c>
      <c r="M57" s="24">
        <f t="shared" si="1"/>
        <v>0</v>
      </c>
      <c r="N57" s="21" t="str">
        <f>'User Stories'!N57</f>
        <v>Taha Iftikhar</v>
      </c>
    </row>
    <row r="58" spans="1:14">
      <c r="A58" s="18" t="s">
        <v>347</v>
      </c>
      <c r="B58" s="19" t="str">
        <f>'User Stories'!D58</f>
        <v>Digital Onboarding Workflow</v>
      </c>
      <c r="C58" s="18" t="str">
        <f>'User Stories'!F58</f>
        <v>Critical</v>
      </c>
      <c r="D58" s="18">
        <f>COUNTIF(TestCases[Story ID],$A58)</f>
        <v>6</v>
      </c>
      <c r="E58" s="18">
        <f>COUNTIFS(TestCases[Story ID],$A58,TestCases[Type],"Positive")</f>
        <v>2</v>
      </c>
      <c r="F58" s="18">
        <f>COUNTIFS(TestCases[Story ID],$A58,TestCases[Type],"Negative")</f>
        <v>1</v>
      </c>
      <c r="G58" s="18">
        <f>COUNTIFS(TestCases[Story ID],$A58,TestCases[Type],"Security")</f>
        <v>3</v>
      </c>
      <c r="H58" s="18">
        <f>COUNTIFS(TestCases[Story ID],$A58,TestCases[Type],"Boundary")</f>
        <v>0</v>
      </c>
      <c r="I58" s="18">
        <f>COUNTIFS(TestCases[Story ID],$A58,TestCases[Status],"Not Run")</f>
        <v>6</v>
      </c>
      <c r="J58" s="18">
        <f>COUNTIFS(TestCases[Story ID],$A58,TestCases[Status],"Pass")</f>
        <v>0</v>
      </c>
      <c r="K58" s="18">
        <f>COUNTIFS(TestCases[Story ID],$A58,TestCases[Status],"Fail")</f>
        <v>0</v>
      </c>
      <c r="L58" s="18">
        <f>COUNTIFS(TestCases[Story ID],$A58,TestCases[Status],"Blocked")</f>
        <v>0</v>
      </c>
      <c r="M58" s="23">
        <f t="shared" si="1"/>
        <v>0</v>
      </c>
      <c r="N58" s="18" t="str">
        <f>'User Stories'!N58</f>
        <v>Taha Iftikhar</v>
      </c>
    </row>
    <row r="59" spans="1:14">
      <c r="A59" s="21" t="s">
        <v>351</v>
      </c>
      <c r="B59" s="22" t="str">
        <f>'User Stories'!D59</f>
        <v>Digital Onboarding Workflow</v>
      </c>
      <c r="C59" s="21" t="str">
        <f>'User Stories'!F59</f>
        <v>Medium</v>
      </c>
      <c r="D59" s="21">
        <f>COUNTIF(TestCases[Story ID],$A59)</f>
        <v>7</v>
      </c>
      <c r="E59" s="21">
        <f>COUNTIFS(TestCases[Story ID],$A59,TestCases[Type],"Positive")</f>
        <v>4</v>
      </c>
      <c r="F59" s="21">
        <f>COUNTIFS(TestCases[Story ID],$A59,TestCases[Type],"Negative")</f>
        <v>0</v>
      </c>
      <c r="G59" s="21">
        <f>COUNTIFS(TestCases[Story ID],$A59,TestCases[Type],"Security")</f>
        <v>3</v>
      </c>
      <c r="H59" s="21">
        <f>COUNTIFS(TestCases[Story ID],$A59,TestCases[Type],"Boundary")</f>
        <v>0</v>
      </c>
      <c r="I59" s="21">
        <f>COUNTIFS(TestCases[Story ID],$A59,TestCases[Status],"Not Run")</f>
        <v>7</v>
      </c>
      <c r="J59" s="21">
        <f>COUNTIFS(TestCases[Story ID],$A59,TestCases[Status],"Pass")</f>
        <v>0</v>
      </c>
      <c r="K59" s="21">
        <f>COUNTIFS(TestCases[Story ID],$A59,TestCases[Status],"Fail")</f>
        <v>0</v>
      </c>
      <c r="L59" s="21">
        <f>COUNTIFS(TestCases[Story ID],$A59,TestCases[Status],"Blocked")</f>
        <v>0</v>
      </c>
      <c r="M59" s="24">
        <f t="shared" si="1"/>
        <v>0</v>
      </c>
      <c r="N59" s="21" t="str">
        <f>'User Stories'!N59</f>
        <v>Faris Dosani</v>
      </c>
    </row>
    <row r="60" spans="1:14">
      <c r="A60" s="18" t="s">
        <v>355</v>
      </c>
      <c r="B60" s="19" t="str">
        <f>'User Stories'!D60</f>
        <v>Digital Onboarding Workflow</v>
      </c>
      <c r="C60" s="18" t="str">
        <f>'User Stories'!F60</f>
        <v>Medium</v>
      </c>
      <c r="D60" s="18">
        <f>COUNTIF(TestCases[Story ID],$A60)</f>
        <v>7</v>
      </c>
      <c r="E60" s="18">
        <f>COUNTIFS(TestCases[Story ID],$A60,TestCases[Type],"Positive")</f>
        <v>3</v>
      </c>
      <c r="F60" s="18">
        <f>COUNTIFS(TestCases[Story ID],$A60,TestCases[Type],"Negative")</f>
        <v>1</v>
      </c>
      <c r="G60" s="18">
        <f>COUNTIFS(TestCases[Story ID],$A60,TestCases[Type],"Security")</f>
        <v>3</v>
      </c>
      <c r="H60" s="18">
        <f>COUNTIFS(TestCases[Story ID],$A60,TestCases[Type],"Boundary")</f>
        <v>0</v>
      </c>
      <c r="I60" s="18">
        <f>COUNTIFS(TestCases[Story ID],$A60,TestCases[Status],"Not Run")</f>
        <v>7</v>
      </c>
      <c r="J60" s="18">
        <f>COUNTIFS(TestCases[Story ID],$A60,TestCases[Status],"Pass")</f>
        <v>0</v>
      </c>
      <c r="K60" s="18">
        <f>COUNTIFS(TestCases[Story ID],$A60,TestCases[Status],"Fail")</f>
        <v>0</v>
      </c>
      <c r="L60" s="18">
        <f>COUNTIFS(TestCases[Story ID],$A60,TestCases[Status],"Blocked")</f>
        <v>0</v>
      </c>
      <c r="M60" s="23">
        <f t="shared" si="1"/>
        <v>0</v>
      </c>
      <c r="N60" s="18" t="str">
        <f>'User Stories'!N60</f>
        <v>Faris Dosani</v>
      </c>
    </row>
    <row r="61" spans="1:14">
      <c r="A61" s="21" t="s">
        <v>359</v>
      </c>
      <c r="B61" s="22" t="str">
        <f>'User Stories'!D61</f>
        <v>Digital Onboarding Workflow</v>
      </c>
      <c r="C61" s="21" t="str">
        <f>'User Stories'!F61</f>
        <v>Medium</v>
      </c>
      <c r="D61" s="21">
        <f>COUNTIF(TestCases[Story ID],$A61)</f>
        <v>5</v>
      </c>
      <c r="E61" s="21">
        <f>COUNTIFS(TestCases[Story ID],$A61,TestCases[Type],"Positive")</f>
        <v>2</v>
      </c>
      <c r="F61" s="21">
        <f>COUNTIFS(TestCases[Story ID],$A61,TestCases[Type],"Negative")</f>
        <v>0</v>
      </c>
      <c r="G61" s="21">
        <f>COUNTIFS(TestCases[Story ID],$A61,TestCases[Type],"Security")</f>
        <v>3</v>
      </c>
      <c r="H61" s="21">
        <f>COUNTIFS(TestCases[Story ID],$A61,TestCases[Type],"Boundary")</f>
        <v>0</v>
      </c>
      <c r="I61" s="21">
        <f>COUNTIFS(TestCases[Story ID],$A61,TestCases[Status],"Not Run")</f>
        <v>5</v>
      </c>
      <c r="J61" s="21">
        <f>COUNTIFS(TestCases[Story ID],$A61,TestCases[Status],"Pass")</f>
        <v>0</v>
      </c>
      <c r="K61" s="21">
        <f>COUNTIFS(TestCases[Story ID],$A61,TestCases[Status],"Fail")</f>
        <v>0</v>
      </c>
      <c r="L61" s="21">
        <f>COUNTIFS(TestCases[Story ID],$A61,TestCases[Status],"Blocked")</f>
        <v>0</v>
      </c>
      <c r="M61" s="24">
        <f t="shared" si="1"/>
        <v>0</v>
      </c>
      <c r="N61" s="21" t="str">
        <f>'User Stories'!N61</f>
        <v>Syed Omer Ahmed Shamsi</v>
      </c>
    </row>
    <row r="62" spans="1:14">
      <c r="A62" s="18" t="s">
        <v>363</v>
      </c>
      <c r="B62" s="19" t="str">
        <f>'User Stories'!D62</f>
        <v>Digital Onboarding Workflow</v>
      </c>
      <c r="C62" s="18" t="str">
        <f>'User Stories'!F62</f>
        <v>Medium</v>
      </c>
      <c r="D62" s="18">
        <f>COUNTIF(TestCases[Story ID],$A62)</f>
        <v>6</v>
      </c>
      <c r="E62" s="18">
        <f>COUNTIFS(TestCases[Story ID],$A62,TestCases[Type],"Positive")</f>
        <v>3</v>
      </c>
      <c r="F62" s="18">
        <f>COUNTIFS(TestCases[Story ID],$A62,TestCases[Type],"Negative")</f>
        <v>0</v>
      </c>
      <c r="G62" s="18">
        <f>COUNTIFS(TestCases[Story ID],$A62,TestCases[Type],"Security")</f>
        <v>3</v>
      </c>
      <c r="H62" s="18">
        <f>COUNTIFS(TestCases[Story ID],$A62,TestCases[Type],"Boundary")</f>
        <v>0</v>
      </c>
      <c r="I62" s="18">
        <f>COUNTIFS(TestCases[Story ID],$A62,TestCases[Status],"Not Run")</f>
        <v>6</v>
      </c>
      <c r="J62" s="18">
        <f>COUNTIFS(TestCases[Story ID],$A62,TestCases[Status],"Pass")</f>
        <v>0</v>
      </c>
      <c r="K62" s="18">
        <f>COUNTIFS(TestCases[Story ID],$A62,TestCases[Status],"Fail")</f>
        <v>0</v>
      </c>
      <c r="L62" s="18">
        <f>COUNTIFS(TestCases[Story ID],$A62,TestCases[Status],"Blocked")</f>
        <v>0</v>
      </c>
      <c r="M62" s="23">
        <f t="shared" si="1"/>
        <v>0</v>
      </c>
      <c r="N62" s="18" t="str">
        <f>'User Stories'!N62</f>
        <v>Syed Omer Ahmed Shamsi</v>
      </c>
    </row>
    <row r="63" spans="1:14">
      <c r="A63" s="21" t="s">
        <v>367</v>
      </c>
      <c r="B63" s="22" t="str">
        <f>'User Stories'!D63</f>
        <v>Digital Onboarding Workflow</v>
      </c>
      <c r="C63" s="21" t="str">
        <f>'User Stories'!F63</f>
        <v>Medium</v>
      </c>
      <c r="D63" s="21">
        <f>COUNTIF(TestCases[Story ID],$A63)</f>
        <v>6</v>
      </c>
      <c r="E63" s="21">
        <f>COUNTIFS(TestCases[Story ID],$A63,TestCases[Type],"Positive")</f>
        <v>3</v>
      </c>
      <c r="F63" s="21">
        <f>COUNTIFS(TestCases[Story ID],$A63,TestCases[Type],"Negative")</f>
        <v>0</v>
      </c>
      <c r="G63" s="21">
        <f>COUNTIFS(TestCases[Story ID],$A63,TestCases[Type],"Security")</f>
        <v>3</v>
      </c>
      <c r="H63" s="21">
        <f>COUNTIFS(TestCases[Story ID],$A63,TestCases[Type],"Boundary")</f>
        <v>0</v>
      </c>
      <c r="I63" s="21">
        <f>COUNTIFS(TestCases[Story ID],$A63,TestCases[Status],"Not Run")</f>
        <v>6</v>
      </c>
      <c r="J63" s="21">
        <f>COUNTIFS(TestCases[Story ID],$A63,TestCases[Status],"Pass")</f>
        <v>0</v>
      </c>
      <c r="K63" s="21">
        <f>COUNTIFS(TestCases[Story ID],$A63,TestCases[Status],"Fail")</f>
        <v>0</v>
      </c>
      <c r="L63" s="21">
        <f>COUNTIFS(TestCases[Story ID],$A63,TestCases[Status],"Blocked")</f>
        <v>0</v>
      </c>
      <c r="M63" s="24">
        <f t="shared" si="1"/>
        <v>0</v>
      </c>
      <c r="N63" s="21" t="str">
        <f>'User Stories'!N63</f>
        <v xml:space="preserve">Aimen Abdullah </v>
      </c>
    </row>
    <row r="64" spans="1:14">
      <c r="A64" s="18" t="s">
        <v>371</v>
      </c>
      <c r="B64" s="19" t="str">
        <f>'User Stories'!D64</f>
        <v>Digital Onboarding Workflow</v>
      </c>
      <c r="C64" s="18" t="str">
        <f>'User Stories'!F64</f>
        <v>High</v>
      </c>
      <c r="D64" s="18">
        <f>COUNTIF(TestCases[Story ID],$A64)</f>
        <v>8</v>
      </c>
      <c r="E64" s="18">
        <f>COUNTIFS(TestCases[Story ID],$A64,TestCases[Type],"Positive")</f>
        <v>4</v>
      </c>
      <c r="F64" s="18">
        <f>COUNTIFS(TestCases[Story ID],$A64,TestCases[Type],"Negative")</f>
        <v>1</v>
      </c>
      <c r="G64" s="18">
        <f>COUNTIFS(TestCases[Story ID],$A64,TestCases[Type],"Security")</f>
        <v>3</v>
      </c>
      <c r="H64" s="18">
        <f>COUNTIFS(TestCases[Story ID],$A64,TestCases[Type],"Boundary")</f>
        <v>0</v>
      </c>
      <c r="I64" s="18">
        <f>COUNTIFS(TestCases[Story ID],$A64,TestCases[Status],"Not Run")</f>
        <v>8</v>
      </c>
      <c r="J64" s="18">
        <f>COUNTIFS(TestCases[Story ID],$A64,TestCases[Status],"Pass")</f>
        <v>0</v>
      </c>
      <c r="K64" s="18">
        <f>COUNTIFS(TestCases[Story ID],$A64,TestCases[Status],"Fail")</f>
        <v>0</v>
      </c>
      <c r="L64" s="18">
        <f>COUNTIFS(TestCases[Story ID],$A64,TestCases[Status],"Blocked")</f>
        <v>0</v>
      </c>
      <c r="M64" s="23">
        <f t="shared" si="1"/>
        <v>0</v>
      </c>
      <c r="N64" s="18" t="str">
        <f>'User Stories'!N64</f>
        <v xml:space="preserve">Aimen Abdullah </v>
      </c>
    </row>
    <row r="65" spans="1:14">
      <c r="A65" s="21" t="s">
        <v>376</v>
      </c>
      <c r="B65" s="22" t="str">
        <f>'User Stories'!D65</f>
        <v>Digital Onboarding Workflow</v>
      </c>
      <c r="C65" s="21" t="str">
        <f>'User Stories'!F65</f>
        <v>Critical</v>
      </c>
      <c r="D65" s="21">
        <f>COUNTIF(TestCases[Story ID],$A65)</f>
        <v>7</v>
      </c>
      <c r="E65" s="21">
        <f>COUNTIFS(TestCases[Story ID],$A65,TestCases[Type],"Positive")</f>
        <v>4</v>
      </c>
      <c r="F65" s="21">
        <f>COUNTIFS(TestCases[Story ID],$A65,TestCases[Type],"Negative")</f>
        <v>0</v>
      </c>
      <c r="G65" s="21">
        <f>COUNTIFS(TestCases[Story ID],$A65,TestCases[Type],"Security")</f>
        <v>3</v>
      </c>
      <c r="H65" s="21">
        <f>COUNTIFS(TestCases[Story ID],$A65,TestCases[Type],"Boundary")</f>
        <v>0</v>
      </c>
      <c r="I65" s="21">
        <f>COUNTIFS(TestCases[Story ID],$A65,TestCases[Status],"Not Run")</f>
        <v>7</v>
      </c>
      <c r="J65" s="21">
        <f>COUNTIFS(TestCases[Story ID],$A65,TestCases[Status],"Pass")</f>
        <v>0</v>
      </c>
      <c r="K65" s="21">
        <f>COUNTIFS(TestCases[Story ID],$A65,TestCases[Status],"Fail")</f>
        <v>0</v>
      </c>
      <c r="L65" s="21">
        <f>COUNTIFS(TestCases[Story ID],$A65,TestCases[Status],"Blocked")</f>
        <v>0</v>
      </c>
      <c r="M65" s="24">
        <f t="shared" si="1"/>
        <v>0</v>
      </c>
      <c r="N65" s="21" t="str">
        <f>'User Stories'!N65</f>
        <v>Hassan Farooqi</v>
      </c>
    </row>
    <row r="66" spans="1:14">
      <c r="A66" s="18" t="s">
        <v>380</v>
      </c>
      <c r="B66" s="19" t="str">
        <f>'User Stories'!D66</f>
        <v>Digital Onboarding Workflow</v>
      </c>
      <c r="C66" s="18" t="str">
        <f>'User Stories'!F66</f>
        <v>Critical</v>
      </c>
      <c r="D66" s="18">
        <f>COUNTIF(TestCases[Story ID],$A66)</f>
        <v>12</v>
      </c>
      <c r="E66" s="18">
        <f>COUNTIFS(TestCases[Story ID],$A66,TestCases[Type],"Positive")</f>
        <v>6</v>
      </c>
      <c r="F66" s="18">
        <f>COUNTIFS(TestCases[Story ID],$A66,TestCases[Type],"Negative")</f>
        <v>2</v>
      </c>
      <c r="G66" s="18">
        <f>COUNTIFS(TestCases[Story ID],$A66,TestCases[Type],"Security")</f>
        <v>4</v>
      </c>
      <c r="H66" s="18">
        <f>COUNTIFS(TestCases[Story ID],$A66,TestCases[Type],"Boundary")</f>
        <v>0</v>
      </c>
      <c r="I66" s="18">
        <f>COUNTIFS(TestCases[Story ID],$A66,TestCases[Status],"Not Run")</f>
        <v>12</v>
      </c>
      <c r="J66" s="18">
        <f>COUNTIFS(TestCases[Story ID],$A66,TestCases[Status],"Pass")</f>
        <v>0</v>
      </c>
      <c r="K66" s="18">
        <f>COUNTIFS(TestCases[Story ID],$A66,TestCases[Status],"Fail")</f>
        <v>0</v>
      </c>
      <c r="L66" s="18">
        <f>COUNTIFS(TestCases[Story ID],$A66,TestCases[Status],"Blocked")</f>
        <v>0</v>
      </c>
      <c r="M66" s="23">
        <f t="shared" ref="M66:M97" si="2">IF($D66=0,0,$J66/$D66)</f>
        <v>0</v>
      </c>
      <c r="N66" s="18" t="str">
        <f>'User Stories'!N66</f>
        <v>Hassan Farooqi</v>
      </c>
    </row>
    <row r="67" spans="1:14">
      <c r="A67" s="21" t="s">
        <v>385</v>
      </c>
      <c r="B67" s="22" t="str">
        <f>'User Stories'!D67</f>
        <v>Learning Management</v>
      </c>
      <c r="C67" s="21" t="str">
        <f>'User Stories'!F67</f>
        <v>Critical</v>
      </c>
      <c r="D67" s="21">
        <f>COUNTIF(TestCases[Story ID],$A67)</f>
        <v>21</v>
      </c>
      <c r="E67" s="21">
        <f>COUNTIFS(TestCases[Story ID],$A67,TestCases[Type],"Positive")</f>
        <v>7</v>
      </c>
      <c r="F67" s="21">
        <f>COUNTIFS(TestCases[Story ID],$A67,TestCases[Type],"Negative")</f>
        <v>10</v>
      </c>
      <c r="G67" s="21">
        <f>COUNTIFS(TestCases[Story ID],$A67,TestCases[Type],"Security")</f>
        <v>4</v>
      </c>
      <c r="H67" s="21">
        <f>COUNTIFS(TestCases[Story ID],$A67,TestCases[Type],"Boundary")</f>
        <v>0</v>
      </c>
      <c r="I67" s="21">
        <f>COUNTIFS(TestCases[Story ID],$A67,TestCases[Status],"Not Run")</f>
        <v>21</v>
      </c>
      <c r="J67" s="21">
        <f>COUNTIFS(TestCases[Story ID],$A67,TestCases[Status],"Pass")</f>
        <v>0</v>
      </c>
      <c r="K67" s="21">
        <f>COUNTIFS(TestCases[Story ID],$A67,TestCases[Status],"Fail")</f>
        <v>0</v>
      </c>
      <c r="L67" s="21">
        <f>COUNTIFS(TestCases[Story ID],$A67,TestCases[Status],"Blocked")</f>
        <v>0</v>
      </c>
      <c r="M67" s="24">
        <f t="shared" si="2"/>
        <v>0</v>
      </c>
      <c r="N67" s="21">
        <f>'User Stories'!N67</f>
        <v>0</v>
      </c>
    </row>
    <row r="68" spans="1:14">
      <c r="A68" s="18" t="s">
        <v>394</v>
      </c>
      <c r="B68" s="19" t="str">
        <f>'User Stories'!D68</f>
        <v>Learning Management</v>
      </c>
      <c r="C68" s="18" t="str">
        <f>'User Stories'!F68</f>
        <v>Medium</v>
      </c>
      <c r="D68" s="18">
        <f>COUNTIF(TestCases[Story ID],$A68)</f>
        <v>6</v>
      </c>
      <c r="E68" s="18">
        <f>COUNTIFS(TestCases[Story ID],$A68,TestCases[Type],"Positive")</f>
        <v>3</v>
      </c>
      <c r="F68" s="18">
        <f>COUNTIFS(TestCases[Story ID],$A68,TestCases[Type],"Negative")</f>
        <v>0</v>
      </c>
      <c r="G68" s="18">
        <f>COUNTIFS(TestCases[Story ID],$A68,TestCases[Type],"Security")</f>
        <v>3</v>
      </c>
      <c r="H68" s="18">
        <f>COUNTIFS(TestCases[Story ID],$A68,TestCases[Type],"Boundary")</f>
        <v>0</v>
      </c>
      <c r="I68" s="18">
        <f>COUNTIFS(TestCases[Story ID],$A68,TestCases[Status],"Not Run")</f>
        <v>6</v>
      </c>
      <c r="J68" s="18">
        <f>COUNTIFS(TestCases[Story ID],$A68,TestCases[Status],"Pass")</f>
        <v>0</v>
      </c>
      <c r="K68" s="18">
        <f>COUNTIFS(TestCases[Story ID],$A68,TestCases[Status],"Fail")</f>
        <v>0</v>
      </c>
      <c r="L68" s="18">
        <f>COUNTIFS(TestCases[Story ID],$A68,TestCases[Status],"Blocked")</f>
        <v>0</v>
      </c>
      <c r="M68" s="23">
        <f t="shared" si="2"/>
        <v>0</v>
      </c>
      <c r="N68" s="18">
        <f>'User Stories'!N68</f>
        <v>0</v>
      </c>
    </row>
    <row r="69" spans="1:14">
      <c r="A69" s="21" t="s">
        <v>398</v>
      </c>
      <c r="B69" s="22" t="str">
        <f>'User Stories'!D69</f>
        <v>Learning Management</v>
      </c>
      <c r="C69" s="21" t="str">
        <f>'User Stories'!F69</f>
        <v>Critical</v>
      </c>
      <c r="D69" s="21">
        <f>COUNTIF(TestCases[Story ID],$A69)</f>
        <v>11</v>
      </c>
      <c r="E69" s="21">
        <f>COUNTIFS(TestCases[Story ID],$A69,TestCases[Type],"Positive")</f>
        <v>3</v>
      </c>
      <c r="F69" s="21">
        <f>COUNTIFS(TestCases[Story ID],$A69,TestCases[Type],"Negative")</f>
        <v>4</v>
      </c>
      <c r="G69" s="21">
        <f>COUNTIFS(TestCases[Story ID],$A69,TestCases[Type],"Security")</f>
        <v>4</v>
      </c>
      <c r="H69" s="21">
        <f>COUNTIFS(TestCases[Story ID],$A69,TestCases[Type],"Boundary")</f>
        <v>0</v>
      </c>
      <c r="I69" s="21">
        <f>COUNTIFS(TestCases[Story ID],$A69,TestCases[Status],"Not Run")</f>
        <v>11</v>
      </c>
      <c r="J69" s="21">
        <f>COUNTIFS(TestCases[Story ID],$A69,TestCases[Status],"Pass")</f>
        <v>0</v>
      </c>
      <c r="K69" s="21">
        <f>COUNTIFS(TestCases[Story ID],$A69,TestCases[Status],"Fail")</f>
        <v>0</v>
      </c>
      <c r="L69" s="21">
        <f>COUNTIFS(TestCases[Story ID],$A69,TestCases[Status],"Blocked")</f>
        <v>0</v>
      </c>
      <c r="M69" s="24">
        <f t="shared" si="2"/>
        <v>0</v>
      </c>
      <c r="N69" s="21">
        <f>'User Stories'!N69</f>
        <v>0</v>
      </c>
    </row>
    <row r="70" spans="1:14">
      <c r="A70" s="18" t="s">
        <v>403</v>
      </c>
      <c r="B70" s="19" t="str">
        <f>'User Stories'!D70</f>
        <v>Learning Management</v>
      </c>
      <c r="C70" s="18" t="str">
        <f>'User Stories'!F70</f>
        <v>Critical</v>
      </c>
      <c r="D70" s="18">
        <f>COUNTIF(TestCases[Story ID],$A70)</f>
        <v>7</v>
      </c>
      <c r="E70" s="18">
        <f>COUNTIFS(TestCases[Story ID],$A70,TestCases[Type],"Positive")</f>
        <v>3</v>
      </c>
      <c r="F70" s="18">
        <f>COUNTIFS(TestCases[Story ID],$A70,TestCases[Type],"Negative")</f>
        <v>1</v>
      </c>
      <c r="G70" s="18">
        <f>COUNTIFS(TestCases[Story ID],$A70,TestCases[Type],"Security")</f>
        <v>3</v>
      </c>
      <c r="H70" s="18">
        <f>COUNTIFS(TestCases[Story ID],$A70,TestCases[Type],"Boundary")</f>
        <v>0</v>
      </c>
      <c r="I70" s="18">
        <f>COUNTIFS(TestCases[Story ID],$A70,TestCases[Status],"Not Run")</f>
        <v>7</v>
      </c>
      <c r="J70" s="18">
        <f>COUNTIFS(TestCases[Story ID],$A70,TestCases[Status],"Pass")</f>
        <v>0</v>
      </c>
      <c r="K70" s="18">
        <f>COUNTIFS(TestCases[Story ID],$A70,TestCases[Status],"Fail")</f>
        <v>0</v>
      </c>
      <c r="L70" s="18">
        <f>COUNTIFS(TestCases[Story ID],$A70,TestCases[Status],"Blocked")</f>
        <v>0</v>
      </c>
      <c r="M70" s="23">
        <f t="shared" si="2"/>
        <v>0</v>
      </c>
      <c r="N70" s="18">
        <f>'User Stories'!N70</f>
        <v>0</v>
      </c>
    </row>
    <row r="71" spans="1:14">
      <c r="A71" s="21" t="s">
        <v>407</v>
      </c>
      <c r="B71" s="22" t="str">
        <f>'User Stories'!D71</f>
        <v>Learning Management</v>
      </c>
      <c r="C71" s="21" t="str">
        <f>'User Stories'!F71</f>
        <v>High</v>
      </c>
      <c r="D71" s="21">
        <f>COUNTIF(TestCases[Story ID],$A71)</f>
        <v>8</v>
      </c>
      <c r="E71" s="21">
        <f>COUNTIFS(TestCases[Story ID],$A71,TestCases[Type],"Positive")</f>
        <v>4</v>
      </c>
      <c r="F71" s="21">
        <f>COUNTIFS(TestCases[Story ID],$A71,TestCases[Type],"Negative")</f>
        <v>1</v>
      </c>
      <c r="G71" s="21">
        <f>COUNTIFS(TestCases[Story ID],$A71,TestCases[Type],"Security")</f>
        <v>3</v>
      </c>
      <c r="H71" s="21">
        <f>COUNTIFS(TestCases[Story ID],$A71,TestCases[Type],"Boundary")</f>
        <v>0</v>
      </c>
      <c r="I71" s="21">
        <f>COUNTIFS(TestCases[Story ID],$A71,TestCases[Status],"Not Run")</f>
        <v>8</v>
      </c>
      <c r="J71" s="21">
        <f>COUNTIFS(TestCases[Story ID],$A71,TestCases[Status],"Pass")</f>
        <v>0</v>
      </c>
      <c r="K71" s="21">
        <f>COUNTIFS(TestCases[Story ID],$A71,TestCases[Status],"Fail")</f>
        <v>0</v>
      </c>
      <c r="L71" s="21">
        <f>COUNTIFS(TestCases[Story ID],$A71,TestCases[Status],"Blocked")</f>
        <v>0</v>
      </c>
      <c r="M71" s="24">
        <f t="shared" si="2"/>
        <v>0</v>
      </c>
      <c r="N71" s="21">
        <f>'User Stories'!N71</f>
        <v>0</v>
      </c>
    </row>
    <row r="72" spans="1:14">
      <c r="A72" s="18" t="s">
        <v>411</v>
      </c>
      <c r="B72" s="19" t="str">
        <f>'User Stories'!D72</f>
        <v>Learning Management</v>
      </c>
      <c r="C72" s="18" t="str">
        <f>'User Stories'!F72</f>
        <v>High</v>
      </c>
      <c r="D72" s="18">
        <f>COUNTIF(TestCases[Story ID],$A72)</f>
        <v>6</v>
      </c>
      <c r="E72" s="18">
        <f>COUNTIFS(TestCases[Story ID],$A72,TestCases[Type],"Positive")</f>
        <v>3</v>
      </c>
      <c r="F72" s="18">
        <f>COUNTIFS(TestCases[Story ID],$A72,TestCases[Type],"Negative")</f>
        <v>0</v>
      </c>
      <c r="G72" s="18">
        <f>COUNTIFS(TestCases[Story ID],$A72,TestCases[Type],"Security")</f>
        <v>3</v>
      </c>
      <c r="H72" s="18">
        <f>COUNTIFS(TestCases[Story ID],$A72,TestCases[Type],"Boundary")</f>
        <v>0</v>
      </c>
      <c r="I72" s="18">
        <f>COUNTIFS(TestCases[Story ID],$A72,TestCases[Status],"Not Run")</f>
        <v>6</v>
      </c>
      <c r="J72" s="18">
        <f>COUNTIFS(TestCases[Story ID],$A72,TestCases[Status],"Pass")</f>
        <v>0</v>
      </c>
      <c r="K72" s="18">
        <f>COUNTIFS(TestCases[Story ID],$A72,TestCases[Status],"Fail")</f>
        <v>0</v>
      </c>
      <c r="L72" s="18">
        <f>COUNTIFS(TestCases[Story ID],$A72,TestCases[Status],"Blocked")</f>
        <v>0</v>
      </c>
      <c r="M72" s="23">
        <f t="shared" si="2"/>
        <v>0</v>
      </c>
      <c r="N72" s="18">
        <f>'User Stories'!N72</f>
        <v>0</v>
      </c>
    </row>
    <row r="73" spans="1:14">
      <c r="A73" s="21" t="s">
        <v>415</v>
      </c>
      <c r="B73" s="22" t="str">
        <f>'User Stories'!D73</f>
        <v>Learning Management</v>
      </c>
      <c r="C73" s="21" t="str">
        <f>'User Stories'!F73</f>
        <v>Critical</v>
      </c>
      <c r="D73" s="21">
        <f>COUNTIF(TestCases[Story ID],$A73)</f>
        <v>6</v>
      </c>
      <c r="E73" s="21">
        <f>COUNTIFS(TestCases[Story ID],$A73,TestCases[Type],"Positive")</f>
        <v>3</v>
      </c>
      <c r="F73" s="21">
        <f>COUNTIFS(TestCases[Story ID],$A73,TestCases[Type],"Negative")</f>
        <v>0</v>
      </c>
      <c r="G73" s="21">
        <f>COUNTIFS(TestCases[Story ID],$A73,TestCases[Type],"Security")</f>
        <v>3</v>
      </c>
      <c r="H73" s="21">
        <f>COUNTIFS(TestCases[Story ID],$A73,TestCases[Type],"Boundary")</f>
        <v>0</v>
      </c>
      <c r="I73" s="21">
        <f>COUNTIFS(TestCases[Story ID],$A73,TestCases[Status],"Not Run")</f>
        <v>6</v>
      </c>
      <c r="J73" s="21">
        <f>COUNTIFS(TestCases[Story ID],$A73,TestCases[Status],"Pass")</f>
        <v>0</v>
      </c>
      <c r="K73" s="21">
        <f>COUNTIFS(TestCases[Story ID],$A73,TestCases[Status],"Fail")</f>
        <v>0</v>
      </c>
      <c r="L73" s="21">
        <f>COUNTIFS(TestCases[Story ID],$A73,TestCases[Status],"Blocked")</f>
        <v>0</v>
      </c>
      <c r="M73" s="24">
        <f t="shared" si="2"/>
        <v>0</v>
      </c>
      <c r="N73" s="21">
        <f>'User Stories'!N73</f>
        <v>0</v>
      </c>
    </row>
    <row r="74" spans="1:14">
      <c r="A74" s="18" t="s">
        <v>418</v>
      </c>
      <c r="B74" s="19" t="str">
        <f>'User Stories'!D74</f>
        <v>Learning Management</v>
      </c>
      <c r="C74" s="18" t="str">
        <f>'User Stories'!F74</f>
        <v>High</v>
      </c>
      <c r="D74" s="18">
        <f>COUNTIF(TestCases[Story ID],$A74)</f>
        <v>6</v>
      </c>
      <c r="E74" s="18">
        <f>COUNTIFS(TestCases[Story ID],$A74,TestCases[Type],"Positive")</f>
        <v>2</v>
      </c>
      <c r="F74" s="18">
        <f>COUNTIFS(TestCases[Story ID],$A74,TestCases[Type],"Negative")</f>
        <v>1</v>
      </c>
      <c r="G74" s="18">
        <f>COUNTIFS(TestCases[Story ID],$A74,TestCases[Type],"Security")</f>
        <v>3</v>
      </c>
      <c r="H74" s="18">
        <f>COUNTIFS(TestCases[Story ID],$A74,TestCases[Type],"Boundary")</f>
        <v>0</v>
      </c>
      <c r="I74" s="18">
        <f>COUNTIFS(TestCases[Story ID],$A74,TestCases[Status],"Not Run")</f>
        <v>6</v>
      </c>
      <c r="J74" s="18">
        <f>COUNTIFS(TestCases[Story ID],$A74,TestCases[Status],"Pass")</f>
        <v>0</v>
      </c>
      <c r="K74" s="18">
        <f>COUNTIFS(TestCases[Story ID],$A74,TestCases[Status],"Fail")</f>
        <v>0</v>
      </c>
      <c r="L74" s="18">
        <f>COUNTIFS(TestCases[Story ID],$A74,TestCases[Status],"Blocked")</f>
        <v>0</v>
      </c>
      <c r="M74" s="23">
        <f t="shared" si="2"/>
        <v>0</v>
      </c>
      <c r="N74" s="18">
        <f>'User Stories'!N74</f>
        <v>0</v>
      </c>
    </row>
    <row r="75" spans="1:14">
      <c r="A75" s="21" t="s">
        <v>422</v>
      </c>
      <c r="B75" s="22" t="str">
        <f>'User Stories'!D75</f>
        <v>Learning Management</v>
      </c>
      <c r="C75" s="21" t="str">
        <f>'User Stories'!F75</f>
        <v>Medium</v>
      </c>
      <c r="D75" s="21">
        <f>COUNTIF(TestCases[Story ID],$A75)</f>
        <v>6</v>
      </c>
      <c r="E75" s="21">
        <f>COUNTIFS(TestCases[Story ID],$A75,TestCases[Type],"Positive")</f>
        <v>3</v>
      </c>
      <c r="F75" s="21">
        <f>COUNTIFS(TestCases[Story ID],$A75,TestCases[Type],"Negative")</f>
        <v>0</v>
      </c>
      <c r="G75" s="21">
        <f>COUNTIFS(TestCases[Story ID],$A75,TestCases[Type],"Security")</f>
        <v>3</v>
      </c>
      <c r="H75" s="21">
        <f>COUNTIFS(TestCases[Story ID],$A75,TestCases[Type],"Boundary")</f>
        <v>0</v>
      </c>
      <c r="I75" s="21">
        <f>COUNTIFS(TestCases[Story ID],$A75,TestCases[Status],"Not Run")</f>
        <v>6</v>
      </c>
      <c r="J75" s="21">
        <f>COUNTIFS(TestCases[Story ID],$A75,TestCases[Status],"Pass")</f>
        <v>0</v>
      </c>
      <c r="K75" s="21">
        <f>COUNTIFS(TestCases[Story ID],$A75,TestCases[Status],"Fail")</f>
        <v>0</v>
      </c>
      <c r="L75" s="21">
        <f>COUNTIFS(TestCases[Story ID],$A75,TestCases[Status],"Blocked")</f>
        <v>0</v>
      </c>
      <c r="M75" s="24">
        <f t="shared" si="2"/>
        <v>0</v>
      </c>
      <c r="N75" s="21">
        <f>'User Stories'!N75</f>
        <v>0</v>
      </c>
    </row>
    <row r="76" spans="1:14">
      <c r="A76" s="18" t="s">
        <v>425</v>
      </c>
      <c r="B76" s="19" t="str">
        <f>'User Stories'!D76</f>
        <v>Learning Management</v>
      </c>
      <c r="C76" s="18" t="str">
        <f>'User Stories'!F76</f>
        <v>Medium</v>
      </c>
      <c r="D76" s="18">
        <f>COUNTIF(TestCases[Story ID],$A76)</f>
        <v>5</v>
      </c>
      <c r="E76" s="18">
        <f>COUNTIFS(TestCases[Story ID],$A76,TestCases[Type],"Positive")</f>
        <v>2</v>
      </c>
      <c r="F76" s="18">
        <f>COUNTIFS(TestCases[Story ID],$A76,TestCases[Type],"Negative")</f>
        <v>0</v>
      </c>
      <c r="G76" s="18">
        <f>COUNTIFS(TestCases[Story ID],$A76,TestCases[Type],"Security")</f>
        <v>3</v>
      </c>
      <c r="H76" s="18">
        <f>COUNTIFS(TestCases[Story ID],$A76,TestCases[Type],"Boundary")</f>
        <v>0</v>
      </c>
      <c r="I76" s="18">
        <f>COUNTIFS(TestCases[Story ID],$A76,TestCases[Status],"Not Run")</f>
        <v>5</v>
      </c>
      <c r="J76" s="18">
        <f>COUNTIFS(TestCases[Story ID],$A76,TestCases[Status],"Pass")</f>
        <v>0</v>
      </c>
      <c r="K76" s="18">
        <f>COUNTIFS(TestCases[Story ID],$A76,TestCases[Status],"Fail")</f>
        <v>0</v>
      </c>
      <c r="L76" s="18">
        <f>COUNTIFS(TestCases[Story ID],$A76,TestCases[Status],"Blocked")</f>
        <v>0</v>
      </c>
      <c r="M76" s="23">
        <f t="shared" si="2"/>
        <v>0</v>
      </c>
      <c r="N76" s="18">
        <f>'User Stories'!N76</f>
        <v>0</v>
      </c>
    </row>
    <row r="77" spans="1:14">
      <c r="A77" s="21" t="s">
        <v>428</v>
      </c>
      <c r="B77" s="22" t="str">
        <f>'User Stories'!D77</f>
        <v>Learning Management</v>
      </c>
      <c r="C77" s="21" t="str">
        <f>'User Stories'!F77</f>
        <v>Medium</v>
      </c>
      <c r="D77" s="21">
        <f>COUNTIF(TestCases[Story ID],$A77)</f>
        <v>8</v>
      </c>
      <c r="E77" s="21">
        <f>COUNTIFS(TestCases[Story ID],$A77,TestCases[Type],"Positive")</f>
        <v>4</v>
      </c>
      <c r="F77" s="21">
        <f>COUNTIFS(TestCases[Story ID],$A77,TestCases[Type],"Negative")</f>
        <v>1</v>
      </c>
      <c r="G77" s="21">
        <f>COUNTIFS(TestCases[Story ID],$A77,TestCases[Type],"Security")</f>
        <v>3</v>
      </c>
      <c r="H77" s="21">
        <f>COUNTIFS(TestCases[Story ID],$A77,TestCases[Type],"Boundary")</f>
        <v>0</v>
      </c>
      <c r="I77" s="21">
        <f>COUNTIFS(TestCases[Story ID],$A77,TestCases[Status],"Not Run")</f>
        <v>8</v>
      </c>
      <c r="J77" s="21">
        <f>COUNTIFS(TestCases[Story ID],$A77,TestCases[Status],"Pass")</f>
        <v>0</v>
      </c>
      <c r="K77" s="21">
        <f>COUNTIFS(TestCases[Story ID],$A77,TestCases[Status],"Fail")</f>
        <v>0</v>
      </c>
      <c r="L77" s="21">
        <f>COUNTIFS(TestCases[Story ID],$A77,TestCases[Status],"Blocked")</f>
        <v>0</v>
      </c>
      <c r="M77" s="24">
        <f t="shared" si="2"/>
        <v>0</v>
      </c>
      <c r="N77" s="21">
        <f>'User Stories'!N77</f>
        <v>0</v>
      </c>
    </row>
    <row r="78" spans="1:14">
      <c r="A78" s="18" t="s">
        <v>432</v>
      </c>
      <c r="B78" s="19" t="str">
        <f>'User Stories'!D78</f>
        <v>Learning Management</v>
      </c>
      <c r="C78" s="18" t="str">
        <f>'User Stories'!F78</f>
        <v>Low</v>
      </c>
      <c r="D78" s="18">
        <f>COUNTIF(TestCases[Story ID],$A78)</f>
        <v>6</v>
      </c>
      <c r="E78" s="18">
        <f>COUNTIFS(TestCases[Story ID],$A78,TestCases[Type],"Positive")</f>
        <v>3</v>
      </c>
      <c r="F78" s="18">
        <f>COUNTIFS(TestCases[Story ID],$A78,TestCases[Type],"Negative")</f>
        <v>0</v>
      </c>
      <c r="G78" s="18">
        <f>COUNTIFS(TestCases[Story ID],$A78,TestCases[Type],"Security")</f>
        <v>3</v>
      </c>
      <c r="H78" s="18">
        <f>COUNTIFS(TestCases[Story ID],$A78,TestCases[Type],"Boundary")</f>
        <v>0</v>
      </c>
      <c r="I78" s="18">
        <f>COUNTIFS(TestCases[Story ID],$A78,TestCases[Status],"Not Run")</f>
        <v>6</v>
      </c>
      <c r="J78" s="18">
        <f>COUNTIFS(TestCases[Story ID],$A78,TestCases[Status],"Pass")</f>
        <v>0</v>
      </c>
      <c r="K78" s="18">
        <f>COUNTIFS(TestCases[Story ID],$A78,TestCases[Status],"Fail")</f>
        <v>0</v>
      </c>
      <c r="L78" s="18">
        <f>COUNTIFS(TestCases[Story ID],$A78,TestCases[Status],"Blocked")</f>
        <v>0</v>
      </c>
      <c r="M78" s="23">
        <f t="shared" si="2"/>
        <v>0</v>
      </c>
      <c r="N78" s="18">
        <f>'User Stories'!N78</f>
        <v>0</v>
      </c>
    </row>
    <row r="79" spans="1:14">
      <c r="A79" s="21" t="s">
        <v>436</v>
      </c>
      <c r="B79" s="22" t="str">
        <f>'User Stories'!D79</f>
        <v>Learning Management</v>
      </c>
      <c r="C79" s="21" t="str">
        <f>'User Stories'!F79</f>
        <v>Critical</v>
      </c>
      <c r="D79" s="21">
        <f>COUNTIF(TestCases[Story ID],$A79)</f>
        <v>6</v>
      </c>
      <c r="E79" s="21">
        <f>COUNTIFS(TestCases[Story ID],$A79,TestCases[Type],"Positive")</f>
        <v>3</v>
      </c>
      <c r="F79" s="21">
        <f>COUNTIFS(TestCases[Story ID],$A79,TestCases[Type],"Negative")</f>
        <v>0</v>
      </c>
      <c r="G79" s="21">
        <f>COUNTIFS(TestCases[Story ID],$A79,TestCases[Type],"Security")</f>
        <v>3</v>
      </c>
      <c r="H79" s="21">
        <f>COUNTIFS(TestCases[Story ID],$A79,TestCases[Type],"Boundary")</f>
        <v>0</v>
      </c>
      <c r="I79" s="21">
        <f>COUNTIFS(TestCases[Story ID],$A79,TestCases[Status],"Not Run")</f>
        <v>6</v>
      </c>
      <c r="J79" s="21">
        <f>COUNTIFS(TestCases[Story ID],$A79,TestCases[Status],"Pass")</f>
        <v>0</v>
      </c>
      <c r="K79" s="21">
        <f>COUNTIFS(TestCases[Story ID],$A79,TestCases[Status],"Fail")</f>
        <v>0</v>
      </c>
      <c r="L79" s="21">
        <f>COUNTIFS(TestCases[Story ID],$A79,TestCases[Status],"Blocked")</f>
        <v>0</v>
      </c>
      <c r="M79" s="24">
        <f t="shared" si="2"/>
        <v>0</v>
      </c>
      <c r="N79" s="21">
        <f>'User Stories'!N79</f>
        <v>0</v>
      </c>
    </row>
    <row r="80" spans="1:14">
      <c r="A80" s="18" t="s">
        <v>440</v>
      </c>
      <c r="B80" s="19" t="str">
        <f>'User Stories'!D80</f>
        <v>Learning Management</v>
      </c>
      <c r="C80" s="18" t="str">
        <f>'User Stories'!F80</f>
        <v>Critical</v>
      </c>
      <c r="D80" s="18">
        <f>COUNTIF(TestCases[Story ID],$A80)</f>
        <v>6</v>
      </c>
      <c r="E80" s="18">
        <f>COUNTIFS(TestCases[Story ID],$A80,TestCases[Type],"Positive")</f>
        <v>3</v>
      </c>
      <c r="F80" s="18">
        <f>COUNTIFS(TestCases[Story ID],$A80,TestCases[Type],"Negative")</f>
        <v>0</v>
      </c>
      <c r="G80" s="18">
        <f>COUNTIFS(TestCases[Story ID],$A80,TestCases[Type],"Security")</f>
        <v>3</v>
      </c>
      <c r="H80" s="18">
        <f>COUNTIFS(TestCases[Story ID],$A80,TestCases[Type],"Boundary")</f>
        <v>0</v>
      </c>
      <c r="I80" s="18">
        <f>COUNTIFS(TestCases[Story ID],$A80,TestCases[Status],"Not Run")</f>
        <v>6</v>
      </c>
      <c r="J80" s="18">
        <f>COUNTIFS(TestCases[Story ID],$A80,TestCases[Status],"Pass")</f>
        <v>0</v>
      </c>
      <c r="K80" s="18">
        <f>COUNTIFS(TestCases[Story ID],$A80,TestCases[Status],"Fail")</f>
        <v>0</v>
      </c>
      <c r="L80" s="18">
        <f>COUNTIFS(TestCases[Story ID],$A80,TestCases[Status],"Blocked")</f>
        <v>0</v>
      </c>
      <c r="M80" s="23">
        <f t="shared" si="2"/>
        <v>0</v>
      </c>
      <c r="N80" s="18">
        <f>'User Stories'!N80</f>
        <v>0</v>
      </c>
    </row>
    <row r="81" spans="1:14">
      <c r="A81" s="21" t="s">
        <v>444</v>
      </c>
      <c r="B81" s="22" t="str">
        <f>'User Stories'!D81</f>
        <v>Learning Management</v>
      </c>
      <c r="C81" s="21" t="str">
        <f>'User Stories'!F81</f>
        <v>Medium</v>
      </c>
      <c r="D81" s="21">
        <f>COUNTIF(TestCases[Story ID],$A81)</f>
        <v>8</v>
      </c>
      <c r="E81" s="21">
        <f>COUNTIFS(TestCases[Story ID],$A81,TestCases[Type],"Positive")</f>
        <v>4</v>
      </c>
      <c r="F81" s="21">
        <f>COUNTIFS(TestCases[Story ID],$A81,TestCases[Type],"Negative")</f>
        <v>1</v>
      </c>
      <c r="G81" s="21">
        <f>COUNTIFS(TestCases[Story ID],$A81,TestCases[Type],"Security")</f>
        <v>3</v>
      </c>
      <c r="H81" s="21">
        <f>COUNTIFS(TestCases[Story ID],$A81,TestCases[Type],"Boundary")</f>
        <v>0</v>
      </c>
      <c r="I81" s="21">
        <f>COUNTIFS(TestCases[Story ID],$A81,TestCases[Status],"Not Run")</f>
        <v>8</v>
      </c>
      <c r="J81" s="21">
        <f>COUNTIFS(TestCases[Story ID],$A81,TestCases[Status],"Pass")</f>
        <v>0</v>
      </c>
      <c r="K81" s="21">
        <f>COUNTIFS(TestCases[Story ID],$A81,TestCases[Status],"Fail")</f>
        <v>0</v>
      </c>
      <c r="L81" s="21">
        <f>COUNTIFS(TestCases[Story ID],$A81,TestCases[Status],"Blocked")</f>
        <v>0</v>
      </c>
      <c r="M81" s="24">
        <f t="shared" si="2"/>
        <v>0</v>
      </c>
      <c r="N81" s="21">
        <f>'User Stories'!N81</f>
        <v>0</v>
      </c>
    </row>
    <row r="82" spans="1:14">
      <c r="A82" s="18" t="s">
        <v>448</v>
      </c>
      <c r="B82" s="19" t="str">
        <f>'User Stories'!D82</f>
        <v>Performance Management</v>
      </c>
      <c r="C82" s="18" t="str">
        <f>'User Stories'!F82</f>
        <v>Critical</v>
      </c>
      <c r="D82" s="18">
        <f>COUNTIF(TestCases[Story ID],$A82)</f>
        <v>15</v>
      </c>
      <c r="E82" s="18">
        <f>COUNTIFS(TestCases[Story ID],$A82,TestCases[Type],"Positive")</f>
        <v>8</v>
      </c>
      <c r="F82" s="18">
        <f>COUNTIFS(TestCases[Story ID],$A82,TestCases[Type],"Negative")</f>
        <v>3</v>
      </c>
      <c r="G82" s="18">
        <f>COUNTIFS(TestCases[Story ID],$A82,TestCases[Type],"Security")</f>
        <v>4</v>
      </c>
      <c r="H82" s="18">
        <f>COUNTIFS(TestCases[Story ID],$A82,TestCases[Type],"Boundary")</f>
        <v>0</v>
      </c>
      <c r="I82" s="18">
        <f>COUNTIFS(TestCases[Story ID],$A82,TestCases[Status],"Not Run")</f>
        <v>15</v>
      </c>
      <c r="J82" s="18">
        <f>COUNTIFS(TestCases[Story ID],$A82,TestCases[Status],"Pass")</f>
        <v>0</v>
      </c>
      <c r="K82" s="18">
        <f>COUNTIFS(TestCases[Story ID],$A82,TestCases[Status],"Fail")</f>
        <v>0</v>
      </c>
      <c r="L82" s="18">
        <f>COUNTIFS(TestCases[Story ID],$A82,TestCases[Status],"Blocked")</f>
        <v>0</v>
      </c>
      <c r="M82" s="23">
        <f t="shared" si="2"/>
        <v>0</v>
      </c>
      <c r="N82" s="18">
        <f>'User Stories'!N82</f>
        <v>0</v>
      </c>
    </row>
    <row r="83" spans="1:14">
      <c r="A83" s="21" t="s">
        <v>455</v>
      </c>
      <c r="B83" s="22" t="str">
        <f>'User Stories'!D83</f>
        <v>Performance Management</v>
      </c>
      <c r="C83" s="21" t="str">
        <f>'User Stories'!F83</f>
        <v>High</v>
      </c>
      <c r="D83" s="21">
        <f>COUNTIF(TestCases[Story ID],$A83)</f>
        <v>6</v>
      </c>
      <c r="E83" s="21">
        <f>COUNTIFS(TestCases[Story ID],$A83,TestCases[Type],"Positive")</f>
        <v>3</v>
      </c>
      <c r="F83" s="21">
        <f>COUNTIFS(TestCases[Story ID],$A83,TestCases[Type],"Negative")</f>
        <v>0</v>
      </c>
      <c r="G83" s="21">
        <f>COUNTIFS(TestCases[Story ID],$A83,TestCases[Type],"Security")</f>
        <v>3</v>
      </c>
      <c r="H83" s="21">
        <f>COUNTIFS(TestCases[Story ID],$A83,TestCases[Type],"Boundary")</f>
        <v>0</v>
      </c>
      <c r="I83" s="21">
        <f>COUNTIFS(TestCases[Story ID],$A83,TestCases[Status],"Not Run")</f>
        <v>6</v>
      </c>
      <c r="J83" s="21">
        <f>COUNTIFS(TestCases[Story ID],$A83,TestCases[Status],"Pass")</f>
        <v>0</v>
      </c>
      <c r="K83" s="21">
        <f>COUNTIFS(TestCases[Story ID],$A83,TestCases[Status],"Fail")</f>
        <v>0</v>
      </c>
      <c r="L83" s="21">
        <f>COUNTIFS(TestCases[Story ID],$A83,TestCases[Status],"Blocked")</f>
        <v>0</v>
      </c>
      <c r="M83" s="24">
        <f t="shared" si="2"/>
        <v>0</v>
      </c>
      <c r="N83" s="21">
        <f>'User Stories'!N83</f>
        <v>0</v>
      </c>
    </row>
    <row r="84" spans="1:14">
      <c r="A84" s="18" t="s">
        <v>459</v>
      </c>
      <c r="B84" s="19" t="str">
        <f>'User Stories'!D84</f>
        <v>Performance Management</v>
      </c>
      <c r="C84" s="18" t="str">
        <f>'User Stories'!F84</f>
        <v>Critical</v>
      </c>
      <c r="D84" s="18">
        <f>COUNTIF(TestCases[Story ID],$A84)</f>
        <v>11</v>
      </c>
      <c r="E84" s="18">
        <f>COUNTIFS(TestCases[Story ID],$A84,TestCases[Type],"Positive")</f>
        <v>4</v>
      </c>
      <c r="F84" s="18">
        <f>COUNTIFS(TestCases[Story ID],$A84,TestCases[Type],"Negative")</f>
        <v>3</v>
      </c>
      <c r="G84" s="18">
        <f>COUNTIFS(TestCases[Story ID],$A84,TestCases[Type],"Security")</f>
        <v>4</v>
      </c>
      <c r="H84" s="18">
        <f>COUNTIFS(TestCases[Story ID],$A84,TestCases[Type],"Boundary")</f>
        <v>0</v>
      </c>
      <c r="I84" s="18">
        <f>COUNTIFS(TestCases[Story ID],$A84,TestCases[Status],"Not Run")</f>
        <v>11</v>
      </c>
      <c r="J84" s="18">
        <f>COUNTIFS(TestCases[Story ID],$A84,TestCases[Status],"Pass")</f>
        <v>0</v>
      </c>
      <c r="K84" s="18">
        <f>COUNTIFS(TestCases[Story ID],$A84,TestCases[Status],"Fail")</f>
        <v>0</v>
      </c>
      <c r="L84" s="18">
        <f>COUNTIFS(TestCases[Story ID],$A84,TestCases[Status],"Blocked")</f>
        <v>0</v>
      </c>
      <c r="M84" s="23">
        <f t="shared" si="2"/>
        <v>0</v>
      </c>
      <c r="N84" s="18">
        <f>'User Stories'!N84</f>
        <v>0</v>
      </c>
    </row>
    <row r="85" spans="1:14">
      <c r="A85" s="21" t="s">
        <v>464</v>
      </c>
      <c r="B85" s="22" t="str">
        <f>'User Stories'!D85</f>
        <v>Performance Management</v>
      </c>
      <c r="C85" s="21" t="str">
        <f>'User Stories'!F85</f>
        <v>Critical</v>
      </c>
      <c r="D85" s="21">
        <f>COUNTIF(TestCases[Story ID],$A85)</f>
        <v>6</v>
      </c>
      <c r="E85" s="21">
        <f>COUNTIFS(TestCases[Story ID],$A85,TestCases[Type],"Positive")</f>
        <v>3</v>
      </c>
      <c r="F85" s="21">
        <f>COUNTIFS(TestCases[Story ID],$A85,TestCases[Type],"Negative")</f>
        <v>0</v>
      </c>
      <c r="G85" s="21">
        <f>COUNTIFS(TestCases[Story ID],$A85,TestCases[Type],"Security")</f>
        <v>3</v>
      </c>
      <c r="H85" s="21">
        <f>COUNTIFS(TestCases[Story ID],$A85,TestCases[Type],"Boundary")</f>
        <v>0</v>
      </c>
      <c r="I85" s="21">
        <f>COUNTIFS(TestCases[Story ID],$A85,TestCases[Status],"Not Run")</f>
        <v>6</v>
      </c>
      <c r="J85" s="21">
        <f>COUNTIFS(TestCases[Story ID],$A85,TestCases[Status],"Pass")</f>
        <v>0</v>
      </c>
      <c r="K85" s="21">
        <f>COUNTIFS(TestCases[Story ID],$A85,TestCases[Status],"Fail")</f>
        <v>0</v>
      </c>
      <c r="L85" s="21">
        <f>COUNTIFS(TestCases[Story ID],$A85,TestCases[Status],"Blocked")</f>
        <v>0</v>
      </c>
      <c r="M85" s="24">
        <f t="shared" si="2"/>
        <v>0</v>
      </c>
      <c r="N85" s="21">
        <f>'User Stories'!N85</f>
        <v>0</v>
      </c>
    </row>
    <row r="86" spans="1:14">
      <c r="A86" s="18" t="s">
        <v>468</v>
      </c>
      <c r="B86" s="19" t="str">
        <f>'User Stories'!D86</f>
        <v>Performance Management</v>
      </c>
      <c r="C86" s="18" t="str">
        <f>'User Stories'!F86</f>
        <v>Critical</v>
      </c>
      <c r="D86" s="18">
        <f>COUNTIF(TestCases[Story ID],$A86)</f>
        <v>6</v>
      </c>
      <c r="E86" s="18">
        <f>COUNTIFS(TestCases[Story ID],$A86,TestCases[Type],"Positive")</f>
        <v>3</v>
      </c>
      <c r="F86" s="18">
        <f>COUNTIFS(TestCases[Story ID],$A86,TestCases[Type],"Negative")</f>
        <v>0</v>
      </c>
      <c r="G86" s="18">
        <f>COUNTIFS(TestCases[Story ID],$A86,TestCases[Type],"Security")</f>
        <v>3</v>
      </c>
      <c r="H86" s="18">
        <f>COUNTIFS(TestCases[Story ID],$A86,TestCases[Type],"Boundary")</f>
        <v>0</v>
      </c>
      <c r="I86" s="18">
        <f>COUNTIFS(TestCases[Story ID],$A86,TestCases[Status],"Not Run")</f>
        <v>6</v>
      </c>
      <c r="J86" s="18">
        <f>COUNTIFS(TestCases[Story ID],$A86,TestCases[Status],"Pass")</f>
        <v>0</v>
      </c>
      <c r="K86" s="18">
        <f>COUNTIFS(TestCases[Story ID],$A86,TestCases[Status],"Fail")</f>
        <v>0</v>
      </c>
      <c r="L86" s="18">
        <f>COUNTIFS(TestCases[Story ID],$A86,TestCases[Status],"Blocked")</f>
        <v>0</v>
      </c>
      <c r="M86" s="23">
        <f t="shared" si="2"/>
        <v>0</v>
      </c>
      <c r="N86" s="18">
        <f>'User Stories'!N86</f>
        <v>0</v>
      </c>
    </row>
    <row r="87" spans="1:14">
      <c r="A87" s="21" t="s">
        <v>472</v>
      </c>
      <c r="B87" s="22" t="str">
        <f>'User Stories'!D87</f>
        <v>Performance Management</v>
      </c>
      <c r="C87" s="21" t="str">
        <f>'User Stories'!F87</f>
        <v>Critical</v>
      </c>
      <c r="D87" s="21">
        <f>COUNTIF(TestCases[Story ID],$A87)</f>
        <v>7</v>
      </c>
      <c r="E87" s="21">
        <f>COUNTIFS(TestCases[Story ID],$A87,TestCases[Type],"Positive")</f>
        <v>3</v>
      </c>
      <c r="F87" s="21">
        <f>COUNTIFS(TestCases[Story ID],$A87,TestCases[Type],"Negative")</f>
        <v>1</v>
      </c>
      <c r="G87" s="21">
        <f>COUNTIFS(TestCases[Story ID],$A87,TestCases[Type],"Security")</f>
        <v>3</v>
      </c>
      <c r="H87" s="21">
        <f>COUNTIFS(TestCases[Story ID],$A87,TestCases[Type],"Boundary")</f>
        <v>0</v>
      </c>
      <c r="I87" s="21">
        <f>COUNTIFS(TestCases[Story ID],$A87,TestCases[Status],"Not Run")</f>
        <v>7</v>
      </c>
      <c r="J87" s="21">
        <f>COUNTIFS(TestCases[Story ID],$A87,TestCases[Status],"Pass")</f>
        <v>0</v>
      </c>
      <c r="K87" s="21">
        <f>COUNTIFS(TestCases[Story ID],$A87,TestCases[Status],"Fail")</f>
        <v>0</v>
      </c>
      <c r="L87" s="21">
        <f>COUNTIFS(TestCases[Story ID],$A87,TestCases[Status],"Blocked")</f>
        <v>0</v>
      </c>
      <c r="M87" s="24">
        <f t="shared" si="2"/>
        <v>0</v>
      </c>
      <c r="N87" s="21">
        <f>'User Stories'!N87</f>
        <v>0</v>
      </c>
    </row>
    <row r="88" spans="1:14">
      <c r="A88" s="18" t="s">
        <v>476</v>
      </c>
      <c r="B88" s="19" t="str">
        <f>'User Stories'!D88</f>
        <v>Performance Management</v>
      </c>
      <c r="C88" s="18" t="str">
        <f>'User Stories'!F88</f>
        <v>Critical</v>
      </c>
      <c r="D88" s="18">
        <f>COUNTIF(TestCases[Story ID],$A88)</f>
        <v>6</v>
      </c>
      <c r="E88" s="18">
        <f>COUNTIFS(TestCases[Story ID],$A88,TestCases[Type],"Positive")</f>
        <v>3</v>
      </c>
      <c r="F88" s="18">
        <f>COUNTIFS(TestCases[Story ID],$A88,TestCases[Type],"Negative")</f>
        <v>0</v>
      </c>
      <c r="G88" s="18">
        <f>COUNTIFS(TestCases[Story ID],$A88,TestCases[Type],"Security")</f>
        <v>3</v>
      </c>
      <c r="H88" s="18">
        <f>COUNTIFS(TestCases[Story ID],$A88,TestCases[Type],"Boundary")</f>
        <v>0</v>
      </c>
      <c r="I88" s="18">
        <f>COUNTIFS(TestCases[Story ID],$A88,TestCases[Status],"Not Run")</f>
        <v>6</v>
      </c>
      <c r="J88" s="18">
        <f>COUNTIFS(TestCases[Story ID],$A88,TestCases[Status],"Pass")</f>
        <v>0</v>
      </c>
      <c r="K88" s="18">
        <f>COUNTIFS(TestCases[Story ID],$A88,TestCases[Status],"Fail")</f>
        <v>0</v>
      </c>
      <c r="L88" s="18">
        <f>COUNTIFS(TestCases[Story ID],$A88,TestCases[Status],"Blocked")</f>
        <v>0</v>
      </c>
      <c r="M88" s="23">
        <f t="shared" si="2"/>
        <v>0</v>
      </c>
      <c r="N88" s="18">
        <f>'User Stories'!N88</f>
        <v>0</v>
      </c>
    </row>
    <row r="89" spans="1:14">
      <c r="A89" s="21" t="s">
        <v>480</v>
      </c>
      <c r="B89" s="22" t="str">
        <f>'User Stories'!D89</f>
        <v>Performance Management</v>
      </c>
      <c r="C89" s="21" t="str">
        <f>'User Stories'!F89</f>
        <v>High</v>
      </c>
      <c r="D89" s="21">
        <f>COUNTIF(TestCases[Story ID],$A89)</f>
        <v>6</v>
      </c>
      <c r="E89" s="21">
        <f>COUNTIFS(TestCases[Story ID],$A89,TestCases[Type],"Positive")</f>
        <v>3</v>
      </c>
      <c r="F89" s="21">
        <f>COUNTIFS(TestCases[Story ID],$A89,TestCases[Type],"Negative")</f>
        <v>0</v>
      </c>
      <c r="G89" s="21">
        <f>COUNTIFS(TestCases[Story ID],$A89,TestCases[Type],"Security")</f>
        <v>3</v>
      </c>
      <c r="H89" s="21">
        <f>COUNTIFS(TestCases[Story ID],$A89,TestCases[Type],"Boundary")</f>
        <v>0</v>
      </c>
      <c r="I89" s="21">
        <f>COUNTIFS(TestCases[Story ID],$A89,TestCases[Status],"Not Run")</f>
        <v>6</v>
      </c>
      <c r="J89" s="21">
        <f>COUNTIFS(TestCases[Story ID],$A89,TestCases[Status],"Pass")</f>
        <v>0</v>
      </c>
      <c r="K89" s="21">
        <f>COUNTIFS(TestCases[Story ID],$A89,TestCases[Status],"Fail")</f>
        <v>0</v>
      </c>
      <c r="L89" s="21">
        <f>COUNTIFS(TestCases[Story ID],$A89,TestCases[Status],"Blocked")</f>
        <v>0</v>
      </c>
      <c r="M89" s="24">
        <f t="shared" si="2"/>
        <v>0</v>
      </c>
      <c r="N89" s="21">
        <f>'User Stories'!N89</f>
        <v>0</v>
      </c>
    </row>
    <row r="90" spans="1:14">
      <c r="A90" s="18" t="s">
        <v>484</v>
      </c>
      <c r="B90" s="19" t="str">
        <f>'User Stories'!D90</f>
        <v>Performance Management</v>
      </c>
      <c r="C90" s="18" t="str">
        <f>'User Stories'!F90</f>
        <v>Medium</v>
      </c>
      <c r="D90" s="18">
        <f>COUNTIF(TestCases[Story ID],$A90)</f>
        <v>6</v>
      </c>
      <c r="E90" s="18">
        <f>COUNTIFS(TestCases[Story ID],$A90,TestCases[Type],"Positive")</f>
        <v>3</v>
      </c>
      <c r="F90" s="18">
        <f>COUNTIFS(TestCases[Story ID],$A90,TestCases[Type],"Negative")</f>
        <v>0</v>
      </c>
      <c r="G90" s="18">
        <f>COUNTIFS(TestCases[Story ID],$A90,TestCases[Type],"Security")</f>
        <v>3</v>
      </c>
      <c r="H90" s="18">
        <f>COUNTIFS(TestCases[Story ID],$A90,TestCases[Type],"Boundary")</f>
        <v>0</v>
      </c>
      <c r="I90" s="18">
        <f>COUNTIFS(TestCases[Story ID],$A90,TestCases[Status],"Not Run")</f>
        <v>6</v>
      </c>
      <c r="J90" s="18">
        <f>COUNTIFS(TestCases[Story ID],$A90,TestCases[Status],"Pass")</f>
        <v>0</v>
      </c>
      <c r="K90" s="18">
        <f>COUNTIFS(TestCases[Story ID],$A90,TestCases[Status],"Fail")</f>
        <v>0</v>
      </c>
      <c r="L90" s="18">
        <f>COUNTIFS(TestCases[Story ID],$A90,TestCases[Status],"Blocked")</f>
        <v>0</v>
      </c>
      <c r="M90" s="23">
        <f t="shared" si="2"/>
        <v>0</v>
      </c>
      <c r="N90" s="18">
        <f>'User Stories'!N90</f>
        <v>0</v>
      </c>
    </row>
    <row r="91" spans="1:14">
      <c r="A91" s="21" t="s">
        <v>488</v>
      </c>
      <c r="B91" s="22" t="str">
        <f>'User Stories'!D91</f>
        <v>Performance Management</v>
      </c>
      <c r="C91" s="21" t="str">
        <f>'User Stories'!F91</f>
        <v>Medium</v>
      </c>
      <c r="D91" s="21">
        <f>COUNTIF(TestCases[Story ID],$A91)</f>
        <v>6</v>
      </c>
      <c r="E91" s="21">
        <f>COUNTIFS(TestCases[Story ID],$A91,TestCases[Type],"Positive")</f>
        <v>3</v>
      </c>
      <c r="F91" s="21">
        <f>COUNTIFS(TestCases[Story ID],$A91,TestCases[Type],"Negative")</f>
        <v>0</v>
      </c>
      <c r="G91" s="21">
        <f>COUNTIFS(TestCases[Story ID],$A91,TestCases[Type],"Security")</f>
        <v>3</v>
      </c>
      <c r="H91" s="21">
        <f>COUNTIFS(TestCases[Story ID],$A91,TestCases[Type],"Boundary")</f>
        <v>0</v>
      </c>
      <c r="I91" s="21">
        <f>COUNTIFS(TestCases[Story ID],$A91,TestCases[Status],"Not Run")</f>
        <v>6</v>
      </c>
      <c r="J91" s="21">
        <f>COUNTIFS(TestCases[Story ID],$A91,TestCases[Status],"Pass")</f>
        <v>0</v>
      </c>
      <c r="K91" s="21">
        <f>COUNTIFS(TestCases[Story ID],$A91,TestCases[Status],"Fail")</f>
        <v>0</v>
      </c>
      <c r="L91" s="21">
        <f>COUNTIFS(TestCases[Story ID],$A91,TestCases[Status],"Blocked")</f>
        <v>0</v>
      </c>
      <c r="M91" s="24">
        <f t="shared" si="2"/>
        <v>0</v>
      </c>
      <c r="N91" s="21">
        <f>'User Stories'!N91</f>
        <v>0</v>
      </c>
    </row>
    <row r="92" spans="1:14">
      <c r="A92" s="18" t="s">
        <v>492</v>
      </c>
      <c r="B92" s="19" t="str">
        <f>'User Stories'!D92</f>
        <v>Performance Management</v>
      </c>
      <c r="C92" s="18" t="str">
        <f>'User Stories'!F92</f>
        <v>Medium</v>
      </c>
      <c r="D92" s="18">
        <f>COUNTIF(TestCases[Story ID],$A92)</f>
        <v>6</v>
      </c>
      <c r="E92" s="18">
        <f>COUNTIFS(TestCases[Story ID],$A92,TestCases[Type],"Positive")</f>
        <v>3</v>
      </c>
      <c r="F92" s="18">
        <f>COUNTIFS(TestCases[Story ID],$A92,TestCases[Type],"Negative")</f>
        <v>0</v>
      </c>
      <c r="G92" s="18">
        <f>COUNTIFS(TestCases[Story ID],$A92,TestCases[Type],"Security")</f>
        <v>3</v>
      </c>
      <c r="H92" s="18">
        <f>COUNTIFS(TestCases[Story ID],$A92,TestCases[Type],"Boundary")</f>
        <v>0</v>
      </c>
      <c r="I92" s="18">
        <f>COUNTIFS(TestCases[Story ID],$A92,TestCases[Status],"Not Run")</f>
        <v>6</v>
      </c>
      <c r="J92" s="18">
        <f>COUNTIFS(TestCases[Story ID],$A92,TestCases[Status],"Pass")</f>
        <v>0</v>
      </c>
      <c r="K92" s="18">
        <f>COUNTIFS(TestCases[Story ID],$A92,TestCases[Status],"Fail")</f>
        <v>0</v>
      </c>
      <c r="L92" s="18">
        <f>COUNTIFS(TestCases[Story ID],$A92,TestCases[Status],"Blocked")</f>
        <v>0</v>
      </c>
      <c r="M92" s="23">
        <f t="shared" si="2"/>
        <v>0</v>
      </c>
      <c r="N92" s="18">
        <f>'User Stories'!N92</f>
        <v>0</v>
      </c>
    </row>
    <row r="93" spans="1:14">
      <c r="A93" s="21" t="s">
        <v>496</v>
      </c>
      <c r="B93" s="22" t="str">
        <f>'User Stories'!D93</f>
        <v>Performance Management</v>
      </c>
      <c r="C93" s="21" t="str">
        <f>'User Stories'!F93</f>
        <v>Medium</v>
      </c>
      <c r="D93" s="21">
        <f>COUNTIF(TestCases[Story ID],$A93)</f>
        <v>6</v>
      </c>
      <c r="E93" s="21">
        <f>COUNTIFS(TestCases[Story ID],$A93,TestCases[Type],"Positive")</f>
        <v>3</v>
      </c>
      <c r="F93" s="21">
        <f>COUNTIFS(TestCases[Story ID],$A93,TestCases[Type],"Negative")</f>
        <v>0</v>
      </c>
      <c r="G93" s="21">
        <f>COUNTIFS(TestCases[Story ID],$A93,TestCases[Type],"Security")</f>
        <v>3</v>
      </c>
      <c r="H93" s="21">
        <f>COUNTIFS(TestCases[Story ID],$A93,TestCases[Type],"Boundary")</f>
        <v>0</v>
      </c>
      <c r="I93" s="21">
        <f>COUNTIFS(TestCases[Story ID],$A93,TestCases[Status],"Not Run")</f>
        <v>6</v>
      </c>
      <c r="J93" s="21">
        <f>COUNTIFS(TestCases[Story ID],$A93,TestCases[Status],"Pass")</f>
        <v>0</v>
      </c>
      <c r="K93" s="21">
        <f>COUNTIFS(TestCases[Story ID],$A93,TestCases[Status],"Fail")</f>
        <v>0</v>
      </c>
      <c r="L93" s="21">
        <f>COUNTIFS(TestCases[Story ID],$A93,TestCases[Status],"Blocked")</f>
        <v>0</v>
      </c>
      <c r="M93" s="24">
        <f t="shared" si="2"/>
        <v>0</v>
      </c>
      <c r="N93" s="21">
        <f>'User Stories'!N93</f>
        <v>0</v>
      </c>
    </row>
    <row r="94" spans="1:14">
      <c r="A94" s="18" t="s">
        <v>500</v>
      </c>
      <c r="B94" s="19" t="str">
        <f>'User Stories'!D94</f>
        <v>Performance Management</v>
      </c>
      <c r="C94" s="18" t="str">
        <f>'User Stories'!F94</f>
        <v>High</v>
      </c>
      <c r="D94" s="18">
        <f>COUNTIF(TestCases[Story ID],$A94)</f>
        <v>8</v>
      </c>
      <c r="E94" s="18">
        <f>COUNTIFS(TestCases[Story ID],$A94,TestCases[Type],"Positive")</f>
        <v>4</v>
      </c>
      <c r="F94" s="18">
        <f>COUNTIFS(TestCases[Story ID],$A94,TestCases[Type],"Negative")</f>
        <v>1</v>
      </c>
      <c r="G94" s="18">
        <f>COUNTIFS(TestCases[Story ID],$A94,TestCases[Type],"Security")</f>
        <v>3</v>
      </c>
      <c r="H94" s="18">
        <f>COUNTIFS(TestCases[Story ID],$A94,TestCases[Type],"Boundary")</f>
        <v>0</v>
      </c>
      <c r="I94" s="18">
        <f>COUNTIFS(TestCases[Story ID],$A94,TestCases[Status],"Not Run")</f>
        <v>8</v>
      </c>
      <c r="J94" s="18">
        <f>COUNTIFS(TestCases[Story ID],$A94,TestCases[Status],"Pass")</f>
        <v>0</v>
      </c>
      <c r="K94" s="18">
        <f>COUNTIFS(TestCases[Story ID],$A94,TestCases[Status],"Fail")</f>
        <v>0</v>
      </c>
      <c r="L94" s="18">
        <f>COUNTIFS(TestCases[Story ID],$A94,TestCases[Status],"Blocked")</f>
        <v>0</v>
      </c>
      <c r="M94" s="23">
        <f t="shared" si="2"/>
        <v>0</v>
      </c>
      <c r="N94" s="18">
        <f>'User Stories'!N94</f>
        <v>0</v>
      </c>
    </row>
    <row r="95" spans="1:14">
      <c r="A95" s="21" t="s">
        <v>504</v>
      </c>
      <c r="B95" s="22" t="str">
        <f>'User Stories'!D95</f>
        <v>Performance Management</v>
      </c>
      <c r="C95" s="21" t="str">
        <f>'User Stories'!F95</f>
        <v>Critical</v>
      </c>
      <c r="D95" s="21">
        <f>COUNTIF(TestCases[Story ID],$A95)</f>
        <v>7</v>
      </c>
      <c r="E95" s="21">
        <f>COUNTIFS(TestCases[Story ID],$A95,TestCases[Type],"Positive")</f>
        <v>4</v>
      </c>
      <c r="F95" s="21">
        <f>COUNTIFS(TestCases[Story ID],$A95,TestCases[Type],"Negative")</f>
        <v>0</v>
      </c>
      <c r="G95" s="21">
        <f>COUNTIFS(TestCases[Story ID],$A95,TestCases[Type],"Security")</f>
        <v>3</v>
      </c>
      <c r="H95" s="21">
        <f>COUNTIFS(TestCases[Story ID],$A95,TestCases[Type],"Boundary")</f>
        <v>0</v>
      </c>
      <c r="I95" s="21">
        <f>COUNTIFS(TestCases[Story ID],$A95,TestCases[Status],"Not Run")</f>
        <v>7</v>
      </c>
      <c r="J95" s="21">
        <f>COUNTIFS(TestCases[Story ID],$A95,TestCases[Status],"Pass")</f>
        <v>0</v>
      </c>
      <c r="K95" s="21">
        <f>COUNTIFS(TestCases[Story ID],$A95,TestCases[Status],"Fail")</f>
        <v>0</v>
      </c>
      <c r="L95" s="21">
        <f>COUNTIFS(TestCases[Story ID],$A95,TestCases[Status],"Blocked")</f>
        <v>0</v>
      </c>
      <c r="M95" s="24">
        <f t="shared" si="2"/>
        <v>0</v>
      </c>
      <c r="N95" s="21">
        <f>'User Stories'!N95</f>
        <v>0</v>
      </c>
    </row>
    <row r="96" spans="1:14">
      <c r="A96" s="18" t="s">
        <v>508</v>
      </c>
      <c r="B96" s="19" t="str">
        <f>'User Stories'!D96</f>
        <v>Performance Management</v>
      </c>
      <c r="C96" s="18" t="str">
        <f>'User Stories'!F96</f>
        <v>Medium</v>
      </c>
      <c r="D96" s="18">
        <f>COUNTIF(TestCases[Story ID],$A96)</f>
        <v>8</v>
      </c>
      <c r="E96" s="18">
        <f>COUNTIFS(TestCases[Story ID],$A96,TestCases[Type],"Positive")</f>
        <v>4</v>
      </c>
      <c r="F96" s="18">
        <f>COUNTIFS(TestCases[Story ID],$A96,TestCases[Type],"Negative")</f>
        <v>1</v>
      </c>
      <c r="G96" s="18">
        <f>COUNTIFS(TestCases[Story ID],$A96,TestCases[Type],"Security")</f>
        <v>3</v>
      </c>
      <c r="H96" s="18">
        <f>COUNTIFS(TestCases[Story ID],$A96,TestCases[Type],"Boundary")</f>
        <v>0</v>
      </c>
      <c r="I96" s="18">
        <f>COUNTIFS(TestCases[Story ID],$A96,TestCases[Status],"Not Run")</f>
        <v>8</v>
      </c>
      <c r="J96" s="18">
        <f>COUNTIFS(TestCases[Story ID],$A96,TestCases[Status],"Pass")</f>
        <v>0</v>
      </c>
      <c r="K96" s="18">
        <f>COUNTIFS(TestCases[Story ID],$A96,TestCases[Status],"Fail")</f>
        <v>0</v>
      </c>
      <c r="L96" s="18">
        <f>COUNTIFS(TestCases[Story ID],$A96,TestCases[Status],"Blocked")</f>
        <v>0</v>
      </c>
      <c r="M96" s="23">
        <f t="shared" si="2"/>
        <v>0</v>
      </c>
      <c r="N96" s="18">
        <f>'User Stories'!N96</f>
        <v>0</v>
      </c>
    </row>
    <row r="97" spans="1:14">
      <c r="A97" s="21" t="s">
        <v>512</v>
      </c>
      <c r="B97" s="22" t="str">
        <f>'User Stories'!D97</f>
        <v>Talent Management</v>
      </c>
      <c r="C97" s="21" t="str">
        <f>'User Stories'!F97</f>
        <v>Critical</v>
      </c>
      <c r="D97" s="21">
        <f>COUNTIF(TestCases[Story ID],$A97)</f>
        <v>16</v>
      </c>
      <c r="E97" s="21">
        <f>COUNTIFS(TestCases[Story ID],$A97,TestCases[Type],"Positive")</f>
        <v>6</v>
      </c>
      <c r="F97" s="21">
        <f>COUNTIFS(TestCases[Story ID],$A97,TestCases[Type],"Negative")</f>
        <v>5</v>
      </c>
      <c r="G97" s="21">
        <f>COUNTIFS(TestCases[Story ID],$A97,TestCases[Type],"Security")</f>
        <v>5</v>
      </c>
      <c r="H97" s="21">
        <f>COUNTIFS(TestCases[Story ID],$A97,TestCases[Type],"Boundary")</f>
        <v>0</v>
      </c>
      <c r="I97" s="21">
        <f>COUNTIFS(TestCases[Story ID],$A97,TestCases[Status],"Not Run")</f>
        <v>16</v>
      </c>
      <c r="J97" s="21">
        <f>COUNTIFS(TestCases[Story ID],$A97,TestCases[Status],"Pass")</f>
        <v>0</v>
      </c>
      <c r="K97" s="21">
        <f>COUNTIFS(TestCases[Story ID],$A97,TestCases[Status],"Fail")</f>
        <v>0</v>
      </c>
      <c r="L97" s="21">
        <f>COUNTIFS(TestCases[Story ID],$A97,TestCases[Status],"Blocked")</f>
        <v>0</v>
      </c>
      <c r="M97" s="24">
        <f t="shared" si="2"/>
        <v>0</v>
      </c>
      <c r="N97" s="21">
        <f>'User Stories'!N97</f>
        <v>0</v>
      </c>
    </row>
    <row r="98" spans="1:14">
      <c r="A98" s="18" t="s">
        <v>519</v>
      </c>
      <c r="B98" s="19" t="str">
        <f>'User Stories'!D98</f>
        <v>Talent Management</v>
      </c>
      <c r="C98" s="18" t="str">
        <f>'User Stories'!F98</f>
        <v>Medium</v>
      </c>
      <c r="D98" s="18">
        <f>COUNTIF(TestCases[Story ID],$A98)</f>
        <v>6</v>
      </c>
      <c r="E98" s="18">
        <f>COUNTIFS(TestCases[Story ID],$A98,TestCases[Type],"Positive")</f>
        <v>3</v>
      </c>
      <c r="F98" s="18">
        <f>COUNTIFS(TestCases[Story ID],$A98,TestCases[Type],"Negative")</f>
        <v>0</v>
      </c>
      <c r="G98" s="18">
        <f>COUNTIFS(TestCases[Story ID],$A98,TestCases[Type],"Security")</f>
        <v>3</v>
      </c>
      <c r="H98" s="18">
        <f>COUNTIFS(TestCases[Story ID],$A98,TestCases[Type],"Boundary")</f>
        <v>0</v>
      </c>
      <c r="I98" s="18">
        <f>COUNTIFS(TestCases[Story ID],$A98,TestCases[Status],"Not Run")</f>
        <v>6</v>
      </c>
      <c r="J98" s="18">
        <f>COUNTIFS(TestCases[Story ID],$A98,TestCases[Status],"Pass")</f>
        <v>0</v>
      </c>
      <c r="K98" s="18">
        <f>COUNTIFS(TestCases[Story ID],$A98,TestCases[Status],"Fail")</f>
        <v>0</v>
      </c>
      <c r="L98" s="18">
        <f>COUNTIFS(TestCases[Story ID],$A98,TestCases[Status],"Blocked")</f>
        <v>0</v>
      </c>
      <c r="M98" s="23">
        <f t="shared" ref="M98:M129" si="3">IF($D98=0,0,$J98/$D98)</f>
        <v>0</v>
      </c>
      <c r="N98" s="18">
        <f>'User Stories'!N98</f>
        <v>0</v>
      </c>
    </row>
    <row r="99" spans="1:14">
      <c r="A99" s="21" t="s">
        <v>523</v>
      </c>
      <c r="B99" s="22" t="str">
        <f>'User Stories'!D99</f>
        <v>Talent Management</v>
      </c>
      <c r="C99" s="21" t="str">
        <f>'User Stories'!F99</f>
        <v>Medium</v>
      </c>
      <c r="D99" s="21">
        <f>COUNTIF(TestCases[Story ID],$A99)</f>
        <v>6</v>
      </c>
      <c r="E99" s="21">
        <f>COUNTIFS(TestCases[Story ID],$A99,TestCases[Type],"Positive")</f>
        <v>3</v>
      </c>
      <c r="F99" s="21">
        <f>COUNTIFS(TestCases[Story ID],$A99,TestCases[Type],"Negative")</f>
        <v>0</v>
      </c>
      <c r="G99" s="21">
        <f>COUNTIFS(TestCases[Story ID],$A99,TestCases[Type],"Security")</f>
        <v>3</v>
      </c>
      <c r="H99" s="21">
        <f>COUNTIFS(TestCases[Story ID],$A99,TestCases[Type],"Boundary")</f>
        <v>0</v>
      </c>
      <c r="I99" s="21">
        <f>COUNTIFS(TestCases[Story ID],$A99,TestCases[Status],"Not Run")</f>
        <v>6</v>
      </c>
      <c r="J99" s="21">
        <f>COUNTIFS(TestCases[Story ID],$A99,TestCases[Status],"Pass")</f>
        <v>0</v>
      </c>
      <c r="K99" s="21">
        <f>COUNTIFS(TestCases[Story ID],$A99,TestCases[Status],"Fail")</f>
        <v>0</v>
      </c>
      <c r="L99" s="21">
        <f>COUNTIFS(TestCases[Story ID],$A99,TestCases[Status],"Blocked")</f>
        <v>0</v>
      </c>
      <c r="M99" s="24">
        <f t="shared" si="3"/>
        <v>0</v>
      </c>
      <c r="N99" s="21">
        <f>'User Stories'!N99</f>
        <v>0</v>
      </c>
    </row>
    <row r="100" spans="1:14">
      <c r="A100" s="18" t="s">
        <v>527</v>
      </c>
      <c r="B100" s="19" t="str">
        <f>'User Stories'!D100</f>
        <v>Talent Management</v>
      </c>
      <c r="C100" s="18" t="str">
        <f>'User Stories'!F100</f>
        <v>Critical</v>
      </c>
      <c r="D100" s="18">
        <f>COUNTIF(TestCases[Story ID],$A100)</f>
        <v>6</v>
      </c>
      <c r="E100" s="18">
        <f>COUNTIFS(TestCases[Story ID],$A100,TestCases[Type],"Positive")</f>
        <v>3</v>
      </c>
      <c r="F100" s="18">
        <f>COUNTIFS(TestCases[Story ID],$A100,TestCases[Type],"Negative")</f>
        <v>0</v>
      </c>
      <c r="G100" s="18">
        <f>COUNTIFS(TestCases[Story ID],$A100,TestCases[Type],"Security")</f>
        <v>3</v>
      </c>
      <c r="H100" s="18">
        <f>COUNTIFS(TestCases[Story ID],$A100,TestCases[Type],"Boundary")</f>
        <v>0</v>
      </c>
      <c r="I100" s="18">
        <f>COUNTIFS(TestCases[Story ID],$A100,TestCases[Status],"Not Run")</f>
        <v>6</v>
      </c>
      <c r="J100" s="18">
        <f>COUNTIFS(TestCases[Story ID],$A100,TestCases[Status],"Pass")</f>
        <v>0</v>
      </c>
      <c r="K100" s="18">
        <f>COUNTIFS(TestCases[Story ID],$A100,TestCases[Status],"Fail")</f>
        <v>0</v>
      </c>
      <c r="L100" s="18">
        <f>COUNTIFS(TestCases[Story ID],$A100,TestCases[Status],"Blocked")</f>
        <v>0</v>
      </c>
      <c r="M100" s="23">
        <f t="shared" si="3"/>
        <v>0</v>
      </c>
      <c r="N100" s="18">
        <f>'User Stories'!N100</f>
        <v>0</v>
      </c>
    </row>
    <row r="101" spans="1:14">
      <c r="A101" s="21" t="s">
        <v>531</v>
      </c>
      <c r="B101" s="22" t="str">
        <f>'User Stories'!D101</f>
        <v>Talent Management</v>
      </c>
      <c r="C101" s="21" t="str">
        <f>'User Stories'!F101</f>
        <v>Medium</v>
      </c>
      <c r="D101" s="21">
        <f>COUNTIF(TestCases[Story ID],$A101)</f>
        <v>6</v>
      </c>
      <c r="E101" s="21">
        <f>COUNTIFS(TestCases[Story ID],$A101,TestCases[Type],"Positive")</f>
        <v>3</v>
      </c>
      <c r="F101" s="21">
        <f>COUNTIFS(TestCases[Story ID],$A101,TestCases[Type],"Negative")</f>
        <v>0</v>
      </c>
      <c r="G101" s="21">
        <f>COUNTIFS(TestCases[Story ID],$A101,TestCases[Type],"Security")</f>
        <v>3</v>
      </c>
      <c r="H101" s="21">
        <f>COUNTIFS(TestCases[Story ID],$A101,TestCases[Type],"Boundary")</f>
        <v>0</v>
      </c>
      <c r="I101" s="21">
        <f>COUNTIFS(TestCases[Story ID],$A101,TestCases[Status],"Not Run")</f>
        <v>6</v>
      </c>
      <c r="J101" s="21">
        <f>COUNTIFS(TestCases[Story ID],$A101,TestCases[Status],"Pass")</f>
        <v>0</v>
      </c>
      <c r="K101" s="21">
        <f>COUNTIFS(TestCases[Story ID],$A101,TestCases[Status],"Fail")</f>
        <v>0</v>
      </c>
      <c r="L101" s="21">
        <f>COUNTIFS(TestCases[Story ID],$A101,TestCases[Status],"Blocked")</f>
        <v>0</v>
      </c>
      <c r="M101" s="24">
        <f t="shared" si="3"/>
        <v>0</v>
      </c>
      <c r="N101" s="21">
        <f>'User Stories'!N101</f>
        <v>0</v>
      </c>
    </row>
    <row r="102" spans="1:14">
      <c r="A102" s="18" t="s">
        <v>535</v>
      </c>
      <c r="B102" s="19" t="str">
        <f>'User Stories'!D102</f>
        <v>Talent Management</v>
      </c>
      <c r="C102" s="18" t="str">
        <f>'User Stories'!F102</f>
        <v>Medium</v>
      </c>
      <c r="D102" s="18">
        <f>COUNTIF(TestCases[Story ID],$A102)</f>
        <v>6</v>
      </c>
      <c r="E102" s="18">
        <f>COUNTIFS(TestCases[Story ID],$A102,TestCases[Type],"Positive")</f>
        <v>3</v>
      </c>
      <c r="F102" s="18">
        <f>COUNTIFS(TestCases[Story ID],$A102,TestCases[Type],"Negative")</f>
        <v>0</v>
      </c>
      <c r="G102" s="18">
        <f>COUNTIFS(TestCases[Story ID],$A102,TestCases[Type],"Security")</f>
        <v>3</v>
      </c>
      <c r="H102" s="18">
        <f>COUNTIFS(TestCases[Story ID],$A102,TestCases[Type],"Boundary")</f>
        <v>0</v>
      </c>
      <c r="I102" s="18">
        <f>COUNTIFS(TestCases[Story ID],$A102,TestCases[Status],"Not Run")</f>
        <v>6</v>
      </c>
      <c r="J102" s="18">
        <f>COUNTIFS(TestCases[Story ID],$A102,TestCases[Status],"Pass")</f>
        <v>0</v>
      </c>
      <c r="K102" s="18">
        <f>COUNTIFS(TestCases[Story ID],$A102,TestCases[Status],"Fail")</f>
        <v>0</v>
      </c>
      <c r="L102" s="18">
        <f>COUNTIFS(TestCases[Story ID],$A102,TestCases[Status],"Blocked")</f>
        <v>0</v>
      </c>
      <c r="M102" s="23">
        <f t="shared" si="3"/>
        <v>0</v>
      </c>
      <c r="N102" s="18">
        <f>'User Stories'!N102</f>
        <v>0</v>
      </c>
    </row>
    <row r="103" spans="1:14">
      <c r="A103" s="21" t="s">
        <v>539</v>
      </c>
      <c r="B103" s="22" t="str">
        <f>'User Stories'!D103</f>
        <v>Talent Management</v>
      </c>
      <c r="C103" s="21" t="str">
        <f>'User Stories'!F103</f>
        <v>Critical</v>
      </c>
      <c r="D103" s="21">
        <f>COUNTIF(TestCases[Story ID],$A103)</f>
        <v>6</v>
      </c>
      <c r="E103" s="21">
        <f>COUNTIFS(TestCases[Story ID],$A103,TestCases[Type],"Positive")</f>
        <v>3</v>
      </c>
      <c r="F103" s="21">
        <f>COUNTIFS(TestCases[Story ID],$A103,TestCases[Type],"Negative")</f>
        <v>0</v>
      </c>
      <c r="G103" s="21">
        <f>COUNTIFS(TestCases[Story ID],$A103,TestCases[Type],"Security")</f>
        <v>3</v>
      </c>
      <c r="H103" s="21">
        <f>COUNTIFS(TestCases[Story ID],$A103,TestCases[Type],"Boundary")</f>
        <v>0</v>
      </c>
      <c r="I103" s="21">
        <f>COUNTIFS(TestCases[Story ID],$A103,TestCases[Status],"Not Run")</f>
        <v>6</v>
      </c>
      <c r="J103" s="21">
        <f>COUNTIFS(TestCases[Story ID],$A103,TestCases[Status],"Pass")</f>
        <v>0</v>
      </c>
      <c r="K103" s="21">
        <f>COUNTIFS(TestCases[Story ID],$A103,TestCases[Status],"Fail")</f>
        <v>0</v>
      </c>
      <c r="L103" s="21">
        <f>COUNTIFS(TestCases[Story ID],$A103,TestCases[Status],"Blocked")</f>
        <v>0</v>
      </c>
      <c r="M103" s="24">
        <f t="shared" si="3"/>
        <v>0</v>
      </c>
      <c r="N103" s="21">
        <f>'User Stories'!N103</f>
        <v>0</v>
      </c>
    </row>
    <row r="104" spans="1:14">
      <c r="A104" s="18" t="s">
        <v>543</v>
      </c>
      <c r="B104" s="19" t="str">
        <f>'User Stories'!D104</f>
        <v>Talent Management</v>
      </c>
      <c r="C104" s="18" t="str">
        <f>'User Stories'!F104</f>
        <v>Critical</v>
      </c>
      <c r="D104" s="18">
        <f>COUNTIF(TestCases[Story ID],$A104)</f>
        <v>6</v>
      </c>
      <c r="E104" s="18">
        <f>COUNTIFS(TestCases[Story ID],$A104,TestCases[Type],"Positive")</f>
        <v>3</v>
      </c>
      <c r="F104" s="18">
        <f>COUNTIFS(TestCases[Story ID],$A104,TestCases[Type],"Negative")</f>
        <v>0</v>
      </c>
      <c r="G104" s="18">
        <f>COUNTIFS(TestCases[Story ID],$A104,TestCases[Type],"Security")</f>
        <v>3</v>
      </c>
      <c r="H104" s="18">
        <f>COUNTIFS(TestCases[Story ID],$A104,TestCases[Type],"Boundary")</f>
        <v>0</v>
      </c>
      <c r="I104" s="18">
        <f>COUNTIFS(TestCases[Story ID],$A104,TestCases[Status],"Not Run")</f>
        <v>6</v>
      </c>
      <c r="J104" s="18">
        <f>COUNTIFS(TestCases[Story ID],$A104,TestCases[Status],"Pass")</f>
        <v>0</v>
      </c>
      <c r="K104" s="18">
        <f>COUNTIFS(TestCases[Story ID],$A104,TestCases[Status],"Fail")</f>
        <v>0</v>
      </c>
      <c r="L104" s="18">
        <f>COUNTIFS(TestCases[Story ID],$A104,TestCases[Status],"Blocked")</f>
        <v>0</v>
      </c>
      <c r="M104" s="23">
        <f t="shared" si="3"/>
        <v>0</v>
      </c>
      <c r="N104" s="18">
        <f>'User Stories'!N104</f>
        <v>0</v>
      </c>
    </row>
    <row r="105" spans="1:14">
      <c r="A105" s="21" t="s">
        <v>547</v>
      </c>
      <c r="B105" s="22" t="str">
        <f>'User Stories'!D105</f>
        <v>Talent Management</v>
      </c>
      <c r="C105" s="21" t="str">
        <f>'User Stories'!F105</f>
        <v>High</v>
      </c>
      <c r="D105" s="21">
        <f>COUNTIF(TestCases[Story ID],$A105)</f>
        <v>8</v>
      </c>
      <c r="E105" s="21">
        <f>COUNTIFS(TestCases[Story ID],$A105,TestCases[Type],"Positive")</f>
        <v>4</v>
      </c>
      <c r="F105" s="21">
        <f>COUNTIFS(TestCases[Story ID],$A105,TestCases[Type],"Negative")</f>
        <v>1</v>
      </c>
      <c r="G105" s="21">
        <f>COUNTIFS(TestCases[Story ID],$A105,TestCases[Type],"Security")</f>
        <v>3</v>
      </c>
      <c r="H105" s="21">
        <f>COUNTIFS(TestCases[Story ID],$A105,TestCases[Type],"Boundary")</f>
        <v>0</v>
      </c>
      <c r="I105" s="21">
        <f>COUNTIFS(TestCases[Story ID],$A105,TestCases[Status],"Not Run")</f>
        <v>8</v>
      </c>
      <c r="J105" s="21">
        <f>COUNTIFS(TestCases[Story ID],$A105,TestCases[Status],"Pass")</f>
        <v>0</v>
      </c>
      <c r="K105" s="21">
        <f>COUNTIFS(TestCases[Story ID],$A105,TestCases[Status],"Fail")</f>
        <v>0</v>
      </c>
      <c r="L105" s="21">
        <f>COUNTIFS(TestCases[Story ID],$A105,TestCases[Status],"Blocked")</f>
        <v>0</v>
      </c>
      <c r="M105" s="24">
        <f t="shared" si="3"/>
        <v>0</v>
      </c>
      <c r="N105" s="21">
        <f>'User Stories'!N105</f>
        <v>0</v>
      </c>
    </row>
    <row r="106" spans="1:14">
      <c r="A106" s="18" t="s">
        <v>551</v>
      </c>
      <c r="B106" s="19" t="str">
        <f>'User Stories'!D106</f>
        <v>Talent Management</v>
      </c>
      <c r="C106" s="18" t="str">
        <f>'User Stories'!F106</f>
        <v>Medium</v>
      </c>
      <c r="D106" s="18">
        <f>COUNTIF(TestCases[Story ID],$A106)</f>
        <v>6</v>
      </c>
      <c r="E106" s="18">
        <f>COUNTIFS(TestCases[Story ID],$A106,TestCases[Type],"Positive")</f>
        <v>3</v>
      </c>
      <c r="F106" s="18">
        <f>COUNTIFS(TestCases[Story ID],$A106,TestCases[Type],"Negative")</f>
        <v>0</v>
      </c>
      <c r="G106" s="18">
        <f>COUNTIFS(TestCases[Story ID],$A106,TestCases[Type],"Security")</f>
        <v>3</v>
      </c>
      <c r="H106" s="18">
        <f>COUNTIFS(TestCases[Story ID],$A106,TestCases[Type],"Boundary")</f>
        <v>0</v>
      </c>
      <c r="I106" s="18">
        <f>COUNTIFS(TestCases[Story ID],$A106,TestCases[Status],"Not Run")</f>
        <v>6</v>
      </c>
      <c r="J106" s="18">
        <f>COUNTIFS(TestCases[Story ID],$A106,TestCases[Status],"Pass")</f>
        <v>0</v>
      </c>
      <c r="K106" s="18">
        <f>COUNTIFS(TestCases[Story ID],$A106,TestCases[Status],"Fail")</f>
        <v>0</v>
      </c>
      <c r="L106" s="18">
        <f>COUNTIFS(TestCases[Story ID],$A106,TestCases[Status],"Blocked")</f>
        <v>0</v>
      </c>
      <c r="M106" s="23">
        <f t="shared" si="3"/>
        <v>0</v>
      </c>
      <c r="N106" s="18">
        <f>'User Stories'!N106</f>
        <v>0</v>
      </c>
    </row>
    <row r="107" spans="1:14">
      <c r="A107" s="21" t="s">
        <v>555</v>
      </c>
      <c r="B107" s="22" t="str">
        <f>'User Stories'!D107</f>
        <v>Talent Management</v>
      </c>
      <c r="C107" s="21" t="str">
        <f>'User Stories'!F107</f>
        <v>High</v>
      </c>
      <c r="D107" s="21">
        <f>COUNTIF(TestCases[Story ID],$A107)</f>
        <v>9</v>
      </c>
      <c r="E107" s="21">
        <f>COUNTIFS(TestCases[Story ID],$A107,TestCases[Type],"Positive")</f>
        <v>5</v>
      </c>
      <c r="F107" s="21">
        <f>COUNTIFS(TestCases[Story ID],$A107,TestCases[Type],"Negative")</f>
        <v>1</v>
      </c>
      <c r="G107" s="21">
        <f>COUNTIFS(TestCases[Story ID],$A107,TestCases[Type],"Security")</f>
        <v>3</v>
      </c>
      <c r="H107" s="21">
        <f>COUNTIFS(TestCases[Story ID],$A107,TestCases[Type],"Boundary")</f>
        <v>0</v>
      </c>
      <c r="I107" s="21">
        <f>COUNTIFS(TestCases[Story ID],$A107,TestCases[Status],"Not Run")</f>
        <v>9</v>
      </c>
      <c r="J107" s="21">
        <f>COUNTIFS(TestCases[Story ID],$A107,TestCases[Status],"Pass")</f>
        <v>0</v>
      </c>
      <c r="K107" s="21">
        <f>COUNTIFS(TestCases[Story ID],$A107,TestCases[Status],"Fail")</f>
        <v>0</v>
      </c>
      <c r="L107" s="21">
        <f>COUNTIFS(TestCases[Story ID],$A107,TestCases[Status],"Blocked")</f>
        <v>0</v>
      </c>
      <c r="M107" s="24">
        <f t="shared" si="3"/>
        <v>0</v>
      </c>
      <c r="N107" s="21">
        <f>'User Stories'!N107</f>
        <v>0</v>
      </c>
    </row>
    <row r="108" spans="1:14">
      <c r="A108" s="18" t="s">
        <v>559</v>
      </c>
      <c r="B108" s="19" t="str">
        <f>'User Stories'!D108</f>
        <v>Talent Management</v>
      </c>
      <c r="C108" s="18" t="str">
        <f>'User Stories'!F108</f>
        <v>Medium</v>
      </c>
      <c r="D108" s="18">
        <f>COUNTIF(TestCases[Story ID],$A108)</f>
        <v>6</v>
      </c>
      <c r="E108" s="18">
        <f>COUNTIFS(TestCases[Story ID],$A108,TestCases[Type],"Positive")</f>
        <v>3</v>
      </c>
      <c r="F108" s="18">
        <f>COUNTIFS(TestCases[Story ID],$A108,TestCases[Type],"Negative")</f>
        <v>0</v>
      </c>
      <c r="G108" s="18">
        <f>COUNTIFS(TestCases[Story ID],$A108,TestCases[Type],"Security")</f>
        <v>3</v>
      </c>
      <c r="H108" s="18">
        <f>COUNTIFS(TestCases[Story ID],$A108,TestCases[Type],"Boundary")</f>
        <v>0</v>
      </c>
      <c r="I108" s="18">
        <f>COUNTIFS(TestCases[Story ID],$A108,TestCases[Status],"Not Run")</f>
        <v>6</v>
      </c>
      <c r="J108" s="18">
        <f>COUNTIFS(TestCases[Story ID],$A108,TestCases[Status],"Pass")</f>
        <v>0</v>
      </c>
      <c r="K108" s="18">
        <f>COUNTIFS(TestCases[Story ID],$A108,TestCases[Status],"Fail")</f>
        <v>0</v>
      </c>
      <c r="L108" s="18">
        <f>COUNTIFS(TestCases[Story ID],$A108,TestCases[Status],"Blocked")</f>
        <v>0</v>
      </c>
      <c r="M108" s="23">
        <f t="shared" si="3"/>
        <v>0</v>
      </c>
      <c r="N108" s="18">
        <f>'User Stories'!N108</f>
        <v>0</v>
      </c>
    </row>
    <row r="109" spans="1:14">
      <c r="A109" s="21" t="s">
        <v>563</v>
      </c>
      <c r="B109" s="22" t="str">
        <f>'User Stories'!D109</f>
        <v>Talent Management</v>
      </c>
      <c r="C109" s="21" t="str">
        <f>'User Stories'!F109</f>
        <v>Medium</v>
      </c>
      <c r="D109" s="21">
        <f>COUNTIF(TestCases[Story ID],$A109)</f>
        <v>8</v>
      </c>
      <c r="E109" s="21">
        <f>COUNTIFS(TestCases[Story ID],$A109,TestCases[Type],"Positive")</f>
        <v>4</v>
      </c>
      <c r="F109" s="21">
        <f>COUNTIFS(TestCases[Story ID],$A109,TestCases[Type],"Negative")</f>
        <v>1</v>
      </c>
      <c r="G109" s="21">
        <f>COUNTIFS(TestCases[Story ID],$A109,TestCases[Type],"Security")</f>
        <v>3</v>
      </c>
      <c r="H109" s="21">
        <f>COUNTIFS(TestCases[Story ID],$A109,TestCases[Type],"Boundary")</f>
        <v>0</v>
      </c>
      <c r="I109" s="21">
        <f>COUNTIFS(TestCases[Story ID],$A109,TestCases[Status],"Not Run")</f>
        <v>8</v>
      </c>
      <c r="J109" s="21">
        <f>COUNTIFS(TestCases[Story ID],$A109,TestCases[Status],"Pass")</f>
        <v>0</v>
      </c>
      <c r="K109" s="21">
        <f>COUNTIFS(TestCases[Story ID],$A109,TestCases[Status],"Fail")</f>
        <v>0</v>
      </c>
      <c r="L109" s="21">
        <f>COUNTIFS(TestCases[Story ID],$A109,TestCases[Status],"Blocked")</f>
        <v>0</v>
      </c>
      <c r="M109" s="24">
        <f t="shared" si="3"/>
        <v>0</v>
      </c>
      <c r="N109" s="21">
        <f>'User Stories'!N109</f>
        <v>0</v>
      </c>
    </row>
    <row r="110" spans="1:14">
      <c r="A110" s="18" t="s">
        <v>567</v>
      </c>
      <c r="B110" s="19" t="str">
        <f>'User Stories'!D110</f>
        <v>Talent Management</v>
      </c>
      <c r="C110" s="18" t="str">
        <f>'User Stories'!F110</f>
        <v>High</v>
      </c>
      <c r="D110" s="18">
        <f>COUNTIF(TestCases[Story ID],$A110)</f>
        <v>6</v>
      </c>
      <c r="E110" s="18">
        <f>COUNTIFS(TestCases[Story ID],$A110,TestCases[Type],"Positive")</f>
        <v>3</v>
      </c>
      <c r="F110" s="18">
        <f>COUNTIFS(TestCases[Story ID],$A110,TestCases[Type],"Negative")</f>
        <v>0</v>
      </c>
      <c r="G110" s="18">
        <f>COUNTIFS(TestCases[Story ID],$A110,TestCases[Type],"Security")</f>
        <v>3</v>
      </c>
      <c r="H110" s="18">
        <f>COUNTIFS(TestCases[Story ID],$A110,TestCases[Type],"Boundary")</f>
        <v>0</v>
      </c>
      <c r="I110" s="18">
        <f>COUNTIFS(TestCases[Story ID],$A110,TestCases[Status],"Not Run")</f>
        <v>6</v>
      </c>
      <c r="J110" s="18">
        <f>COUNTIFS(TestCases[Story ID],$A110,TestCases[Status],"Pass")</f>
        <v>0</v>
      </c>
      <c r="K110" s="18">
        <f>COUNTIFS(TestCases[Story ID],$A110,TestCases[Status],"Fail")</f>
        <v>0</v>
      </c>
      <c r="L110" s="18">
        <f>COUNTIFS(TestCases[Story ID],$A110,TestCases[Status],"Blocked")</f>
        <v>0</v>
      </c>
      <c r="M110" s="23">
        <f t="shared" si="3"/>
        <v>0</v>
      </c>
      <c r="N110" s="18">
        <f>'User Stories'!N110</f>
        <v>0</v>
      </c>
    </row>
    <row r="111" spans="1:14">
      <c r="A111" s="21" t="s">
        <v>571</v>
      </c>
      <c r="B111" s="22" t="str">
        <f>'User Stories'!D111</f>
        <v>Talent Management</v>
      </c>
      <c r="C111" s="21" t="str">
        <f>'User Stories'!F111</f>
        <v>High</v>
      </c>
      <c r="D111" s="21">
        <f>COUNTIF(TestCases[Story ID],$A111)</f>
        <v>12</v>
      </c>
      <c r="E111" s="21">
        <f>COUNTIFS(TestCases[Story ID],$A111,TestCases[Type],"Positive")</f>
        <v>6</v>
      </c>
      <c r="F111" s="21">
        <f>COUNTIFS(TestCases[Story ID],$A111,TestCases[Type],"Negative")</f>
        <v>2</v>
      </c>
      <c r="G111" s="21">
        <f>COUNTIFS(TestCases[Story ID],$A111,TestCases[Type],"Security")</f>
        <v>4</v>
      </c>
      <c r="H111" s="21">
        <f>COUNTIFS(TestCases[Story ID],$A111,TestCases[Type],"Boundary")</f>
        <v>0</v>
      </c>
      <c r="I111" s="21">
        <f>COUNTIFS(TestCases[Story ID],$A111,TestCases[Status],"Not Run")</f>
        <v>12</v>
      </c>
      <c r="J111" s="21">
        <f>COUNTIFS(TestCases[Story ID],$A111,TestCases[Status],"Pass")</f>
        <v>0</v>
      </c>
      <c r="K111" s="21">
        <f>COUNTIFS(TestCases[Story ID],$A111,TestCases[Status],"Fail")</f>
        <v>0</v>
      </c>
      <c r="L111" s="21">
        <f>COUNTIFS(TestCases[Story ID],$A111,TestCases[Status],"Blocked")</f>
        <v>0</v>
      </c>
      <c r="M111" s="24">
        <f t="shared" si="3"/>
        <v>0</v>
      </c>
      <c r="N111" s="21">
        <f>'User Stories'!N111</f>
        <v>0</v>
      </c>
    </row>
    <row r="112" spans="1:14">
      <c r="A112" s="18" t="s">
        <v>576</v>
      </c>
      <c r="B112" s="19" t="str">
        <f>'User Stories'!D112</f>
        <v>AI Coaching &amp; Intelligent Assistance</v>
      </c>
      <c r="C112" s="18" t="str">
        <f>'User Stories'!F112</f>
        <v>Critical</v>
      </c>
      <c r="D112" s="18">
        <f>COUNTIF(TestCases[Story ID],$A112)</f>
        <v>12</v>
      </c>
      <c r="E112" s="18">
        <f>COUNTIFS(TestCases[Story ID],$A112,TestCases[Type],"Positive")</f>
        <v>5</v>
      </c>
      <c r="F112" s="18">
        <f>COUNTIFS(TestCases[Story ID],$A112,TestCases[Type],"Negative")</f>
        <v>3</v>
      </c>
      <c r="G112" s="18">
        <f>COUNTIFS(TestCases[Story ID],$A112,TestCases[Type],"Security")</f>
        <v>4</v>
      </c>
      <c r="H112" s="18">
        <f>COUNTIFS(TestCases[Story ID],$A112,TestCases[Type],"Boundary")</f>
        <v>0</v>
      </c>
      <c r="I112" s="18">
        <f>COUNTIFS(TestCases[Story ID],$A112,TestCases[Status],"Not Run")</f>
        <v>12</v>
      </c>
      <c r="J112" s="18">
        <f>COUNTIFS(TestCases[Story ID],$A112,TestCases[Status],"Pass")</f>
        <v>0</v>
      </c>
      <c r="K112" s="18">
        <f>COUNTIFS(TestCases[Story ID],$A112,TestCases[Status],"Fail")</f>
        <v>0</v>
      </c>
      <c r="L112" s="18">
        <f>COUNTIFS(TestCases[Story ID],$A112,TestCases[Status],"Blocked")</f>
        <v>0</v>
      </c>
      <c r="M112" s="23">
        <f t="shared" si="3"/>
        <v>0</v>
      </c>
      <c r="N112" s="18">
        <f>'User Stories'!N112</f>
        <v>0</v>
      </c>
    </row>
    <row r="113" spans="1:14">
      <c r="A113" s="21" t="s">
        <v>583</v>
      </c>
      <c r="B113" s="22" t="str">
        <f>'User Stories'!D113</f>
        <v>AI Coaching &amp; Intelligent Assistance</v>
      </c>
      <c r="C113" s="21" t="str">
        <f>'User Stories'!F113</f>
        <v>Critical</v>
      </c>
      <c r="D113" s="21">
        <f>COUNTIF(TestCases[Story ID],$A113)</f>
        <v>6</v>
      </c>
      <c r="E113" s="21">
        <f>COUNTIFS(TestCases[Story ID],$A113,TestCases[Type],"Positive")</f>
        <v>3</v>
      </c>
      <c r="F113" s="21">
        <f>COUNTIFS(TestCases[Story ID],$A113,TestCases[Type],"Negative")</f>
        <v>0</v>
      </c>
      <c r="G113" s="21">
        <f>COUNTIFS(TestCases[Story ID],$A113,TestCases[Type],"Security")</f>
        <v>3</v>
      </c>
      <c r="H113" s="21">
        <f>COUNTIFS(TestCases[Story ID],$A113,TestCases[Type],"Boundary")</f>
        <v>0</v>
      </c>
      <c r="I113" s="21">
        <f>COUNTIFS(TestCases[Story ID],$A113,TestCases[Status],"Not Run")</f>
        <v>6</v>
      </c>
      <c r="J113" s="21">
        <f>COUNTIFS(TestCases[Story ID],$A113,TestCases[Status],"Pass")</f>
        <v>0</v>
      </c>
      <c r="K113" s="21">
        <f>COUNTIFS(TestCases[Story ID],$A113,TestCases[Status],"Fail")</f>
        <v>0</v>
      </c>
      <c r="L113" s="21">
        <f>COUNTIFS(TestCases[Story ID],$A113,TestCases[Status],"Blocked")</f>
        <v>0</v>
      </c>
      <c r="M113" s="24">
        <f t="shared" si="3"/>
        <v>0</v>
      </c>
      <c r="N113" s="21">
        <f>'User Stories'!N113</f>
        <v>0</v>
      </c>
    </row>
    <row r="114" spans="1:14">
      <c r="A114" s="18" t="s">
        <v>587</v>
      </c>
      <c r="B114" s="19" t="str">
        <f>'User Stories'!D114</f>
        <v>AI Coaching &amp; Intelligent Assistance</v>
      </c>
      <c r="C114" s="18" t="str">
        <f>'User Stories'!F114</f>
        <v>High</v>
      </c>
      <c r="D114" s="18">
        <f>COUNTIF(TestCases[Story ID],$A114)</f>
        <v>6</v>
      </c>
      <c r="E114" s="18">
        <f>COUNTIFS(TestCases[Story ID],$A114,TestCases[Type],"Positive")</f>
        <v>3</v>
      </c>
      <c r="F114" s="18">
        <f>COUNTIFS(TestCases[Story ID],$A114,TestCases[Type],"Negative")</f>
        <v>0</v>
      </c>
      <c r="G114" s="18">
        <f>COUNTIFS(TestCases[Story ID],$A114,TestCases[Type],"Security")</f>
        <v>3</v>
      </c>
      <c r="H114" s="18">
        <f>COUNTIFS(TestCases[Story ID],$A114,TestCases[Type],"Boundary")</f>
        <v>0</v>
      </c>
      <c r="I114" s="18">
        <f>COUNTIFS(TestCases[Story ID],$A114,TestCases[Status],"Not Run")</f>
        <v>6</v>
      </c>
      <c r="J114" s="18">
        <f>COUNTIFS(TestCases[Story ID],$A114,TestCases[Status],"Pass")</f>
        <v>0</v>
      </c>
      <c r="K114" s="18">
        <f>COUNTIFS(TestCases[Story ID],$A114,TestCases[Status],"Fail")</f>
        <v>0</v>
      </c>
      <c r="L114" s="18">
        <f>COUNTIFS(TestCases[Story ID],$A114,TestCases[Status],"Blocked")</f>
        <v>0</v>
      </c>
      <c r="M114" s="23">
        <f t="shared" si="3"/>
        <v>0</v>
      </c>
      <c r="N114" s="18">
        <f>'User Stories'!N114</f>
        <v>0</v>
      </c>
    </row>
    <row r="115" spans="1:14">
      <c r="A115" s="21" t="s">
        <v>591</v>
      </c>
      <c r="B115" s="22" t="str">
        <f>'User Stories'!D115</f>
        <v>AI Coaching &amp; Intelligent Assistance</v>
      </c>
      <c r="C115" s="21" t="str">
        <f>'User Stories'!F115</f>
        <v>Critical</v>
      </c>
      <c r="D115" s="21">
        <f>COUNTIF(TestCases[Story ID],$A115)</f>
        <v>6</v>
      </c>
      <c r="E115" s="21">
        <f>COUNTIFS(TestCases[Story ID],$A115,TestCases[Type],"Positive")</f>
        <v>3</v>
      </c>
      <c r="F115" s="21">
        <f>COUNTIFS(TestCases[Story ID],$A115,TestCases[Type],"Negative")</f>
        <v>0</v>
      </c>
      <c r="G115" s="21">
        <f>COUNTIFS(TestCases[Story ID],$A115,TestCases[Type],"Security")</f>
        <v>3</v>
      </c>
      <c r="H115" s="21">
        <f>COUNTIFS(TestCases[Story ID],$A115,TestCases[Type],"Boundary")</f>
        <v>0</v>
      </c>
      <c r="I115" s="21">
        <f>COUNTIFS(TestCases[Story ID],$A115,TestCases[Status],"Not Run")</f>
        <v>6</v>
      </c>
      <c r="J115" s="21">
        <f>COUNTIFS(TestCases[Story ID],$A115,TestCases[Status],"Pass")</f>
        <v>0</v>
      </c>
      <c r="K115" s="21">
        <f>COUNTIFS(TestCases[Story ID],$A115,TestCases[Status],"Fail")</f>
        <v>0</v>
      </c>
      <c r="L115" s="21">
        <f>COUNTIFS(TestCases[Story ID],$A115,TestCases[Status],"Blocked")</f>
        <v>0</v>
      </c>
      <c r="M115" s="24">
        <f t="shared" si="3"/>
        <v>0</v>
      </c>
      <c r="N115" s="21">
        <f>'User Stories'!N115</f>
        <v>0</v>
      </c>
    </row>
    <row r="116" spans="1:14">
      <c r="A116" s="18" t="s">
        <v>595</v>
      </c>
      <c r="B116" s="19" t="str">
        <f>'User Stories'!D116</f>
        <v>AI Coaching &amp; Intelligent Assistance</v>
      </c>
      <c r="C116" s="18" t="str">
        <f>'User Stories'!F116</f>
        <v>Critical</v>
      </c>
      <c r="D116" s="18">
        <f>COUNTIF(TestCases[Story ID],$A116)</f>
        <v>6</v>
      </c>
      <c r="E116" s="18">
        <f>COUNTIFS(TestCases[Story ID],$A116,TestCases[Type],"Positive")</f>
        <v>3</v>
      </c>
      <c r="F116" s="18">
        <f>COUNTIFS(TestCases[Story ID],$A116,TestCases[Type],"Negative")</f>
        <v>0</v>
      </c>
      <c r="G116" s="18">
        <f>COUNTIFS(TestCases[Story ID],$A116,TestCases[Type],"Security")</f>
        <v>3</v>
      </c>
      <c r="H116" s="18">
        <f>COUNTIFS(TestCases[Story ID],$A116,TestCases[Type],"Boundary")</f>
        <v>0</v>
      </c>
      <c r="I116" s="18">
        <f>COUNTIFS(TestCases[Story ID],$A116,TestCases[Status],"Not Run")</f>
        <v>6</v>
      </c>
      <c r="J116" s="18">
        <f>COUNTIFS(TestCases[Story ID],$A116,TestCases[Status],"Pass")</f>
        <v>0</v>
      </c>
      <c r="K116" s="18">
        <f>COUNTIFS(TestCases[Story ID],$A116,TestCases[Status],"Fail")</f>
        <v>0</v>
      </c>
      <c r="L116" s="18">
        <f>COUNTIFS(TestCases[Story ID],$A116,TestCases[Status],"Blocked")</f>
        <v>0</v>
      </c>
      <c r="M116" s="23">
        <f t="shared" si="3"/>
        <v>0</v>
      </c>
      <c r="N116" s="18">
        <f>'User Stories'!N116</f>
        <v>0</v>
      </c>
    </row>
    <row r="117" spans="1:14">
      <c r="A117" s="21" t="s">
        <v>599</v>
      </c>
      <c r="B117" s="22" t="str">
        <f>'User Stories'!D117</f>
        <v>AI Coaching &amp; Intelligent Assistance</v>
      </c>
      <c r="C117" s="21" t="str">
        <f>'User Stories'!F117</f>
        <v>Medium</v>
      </c>
      <c r="D117" s="21">
        <f>COUNTIF(TestCases[Story ID],$A117)</f>
        <v>6</v>
      </c>
      <c r="E117" s="21">
        <f>COUNTIFS(TestCases[Story ID],$A117,TestCases[Type],"Positive")</f>
        <v>3</v>
      </c>
      <c r="F117" s="21">
        <f>COUNTIFS(TestCases[Story ID],$A117,TestCases[Type],"Negative")</f>
        <v>0</v>
      </c>
      <c r="G117" s="21">
        <f>COUNTIFS(TestCases[Story ID],$A117,TestCases[Type],"Security")</f>
        <v>3</v>
      </c>
      <c r="H117" s="21">
        <f>COUNTIFS(TestCases[Story ID],$A117,TestCases[Type],"Boundary")</f>
        <v>0</v>
      </c>
      <c r="I117" s="21">
        <f>COUNTIFS(TestCases[Story ID],$A117,TestCases[Status],"Not Run")</f>
        <v>6</v>
      </c>
      <c r="J117" s="21">
        <f>COUNTIFS(TestCases[Story ID],$A117,TestCases[Status],"Pass")</f>
        <v>0</v>
      </c>
      <c r="K117" s="21">
        <f>COUNTIFS(TestCases[Story ID],$A117,TestCases[Status],"Fail")</f>
        <v>0</v>
      </c>
      <c r="L117" s="21">
        <f>COUNTIFS(TestCases[Story ID],$A117,TestCases[Status],"Blocked")</f>
        <v>0</v>
      </c>
      <c r="M117" s="24">
        <f t="shared" si="3"/>
        <v>0</v>
      </c>
      <c r="N117" s="21">
        <f>'User Stories'!N117</f>
        <v>0</v>
      </c>
    </row>
    <row r="118" spans="1:14">
      <c r="A118" s="18" t="s">
        <v>603</v>
      </c>
      <c r="B118" s="19" t="str">
        <f>'User Stories'!D118</f>
        <v>AI Coaching &amp; Intelligent Assistance</v>
      </c>
      <c r="C118" s="18" t="str">
        <f>'User Stories'!F118</f>
        <v>Critical</v>
      </c>
      <c r="D118" s="18">
        <f>COUNTIF(TestCases[Story ID],$A118)</f>
        <v>8</v>
      </c>
      <c r="E118" s="18">
        <f>COUNTIFS(TestCases[Story ID],$A118,TestCases[Type],"Positive")</f>
        <v>4</v>
      </c>
      <c r="F118" s="18">
        <f>COUNTIFS(TestCases[Story ID],$A118,TestCases[Type],"Negative")</f>
        <v>1</v>
      </c>
      <c r="G118" s="18">
        <f>COUNTIFS(TestCases[Story ID],$A118,TestCases[Type],"Security")</f>
        <v>3</v>
      </c>
      <c r="H118" s="18">
        <f>COUNTIFS(TestCases[Story ID],$A118,TestCases[Type],"Boundary")</f>
        <v>0</v>
      </c>
      <c r="I118" s="18">
        <f>COUNTIFS(TestCases[Story ID],$A118,TestCases[Status],"Not Run")</f>
        <v>8</v>
      </c>
      <c r="J118" s="18">
        <f>COUNTIFS(TestCases[Story ID],$A118,TestCases[Status],"Pass")</f>
        <v>0</v>
      </c>
      <c r="K118" s="18">
        <f>COUNTIFS(TestCases[Story ID],$A118,TestCases[Status],"Fail")</f>
        <v>0</v>
      </c>
      <c r="L118" s="18">
        <f>COUNTIFS(TestCases[Story ID],$A118,TestCases[Status],"Blocked")</f>
        <v>0</v>
      </c>
      <c r="M118" s="23">
        <f t="shared" si="3"/>
        <v>0</v>
      </c>
      <c r="N118" s="18">
        <f>'User Stories'!N118</f>
        <v>0</v>
      </c>
    </row>
    <row r="119" spans="1:14">
      <c r="A119" s="21" t="s">
        <v>607</v>
      </c>
      <c r="B119" s="22" t="str">
        <f>'User Stories'!D119</f>
        <v>AI Coaching &amp; Intelligent Assistance</v>
      </c>
      <c r="C119" s="21" t="str">
        <f>'User Stories'!F119</f>
        <v>High</v>
      </c>
      <c r="D119" s="21">
        <f>COUNTIF(TestCases[Story ID],$A119)</f>
        <v>6</v>
      </c>
      <c r="E119" s="21">
        <f>COUNTIFS(TestCases[Story ID],$A119,TestCases[Type],"Positive")</f>
        <v>3</v>
      </c>
      <c r="F119" s="21">
        <f>COUNTIFS(TestCases[Story ID],$A119,TestCases[Type],"Negative")</f>
        <v>0</v>
      </c>
      <c r="G119" s="21">
        <f>COUNTIFS(TestCases[Story ID],$A119,TestCases[Type],"Security")</f>
        <v>3</v>
      </c>
      <c r="H119" s="21">
        <f>COUNTIFS(TestCases[Story ID],$A119,TestCases[Type],"Boundary")</f>
        <v>0</v>
      </c>
      <c r="I119" s="21">
        <f>COUNTIFS(TestCases[Story ID],$A119,TestCases[Status],"Not Run")</f>
        <v>6</v>
      </c>
      <c r="J119" s="21">
        <f>COUNTIFS(TestCases[Story ID],$A119,TestCases[Status],"Pass")</f>
        <v>0</v>
      </c>
      <c r="K119" s="21">
        <f>COUNTIFS(TestCases[Story ID],$A119,TestCases[Status],"Fail")</f>
        <v>0</v>
      </c>
      <c r="L119" s="21">
        <f>COUNTIFS(TestCases[Story ID],$A119,TestCases[Status],"Blocked")</f>
        <v>0</v>
      </c>
      <c r="M119" s="24">
        <f t="shared" si="3"/>
        <v>0</v>
      </c>
      <c r="N119" s="21">
        <f>'User Stories'!N119</f>
        <v>0</v>
      </c>
    </row>
    <row r="120" spans="1:14">
      <c r="A120" s="18" t="s">
        <v>611</v>
      </c>
      <c r="B120" s="19" t="str">
        <f>'User Stories'!D120</f>
        <v>AI Coaching &amp; Intelligent Assistance</v>
      </c>
      <c r="C120" s="18" t="str">
        <f>'User Stories'!F120</f>
        <v>Medium</v>
      </c>
      <c r="D120" s="18">
        <f>COUNTIF(TestCases[Story ID],$A120)</f>
        <v>6</v>
      </c>
      <c r="E120" s="18">
        <f>COUNTIFS(TestCases[Story ID],$A120,TestCases[Type],"Positive")</f>
        <v>3</v>
      </c>
      <c r="F120" s="18">
        <f>COUNTIFS(TestCases[Story ID],$A120,TestCases[Type],"Negative")</f>
        <v>0</v>
      </c>
      <c r="G120" s="18">
        <f>COUNTIFS(TestCases[Story ID],$A120,TestCases[Type],"Security")</f>
        <v>3</v>
      </c>
      <c r="H120" s="18">
        <f>COUNTIFS(TestCases[Story ID],$A120,TestCases[Type],"Boundary")</f>
        <v>0</v>
      </c>
      <c r="I120" s="18">
        <f>COUNTIFS(TestCases[Story ID],$A120,TestCases[Status],"Not Run")</f>
        <v>6</v>
      </c>
      <c r="J120" s="18">
        <f>COUNTIFS(TestCases[Story ID],$A120,TestCases[Status],"Pass")</f>
        <v>0</v>
      </c>
      <c r="K120" s="18">
        <f>COUNTIFS(TestCases[Story ID],$A120,TestCases[Status],"Fail")</f>
        <v>0</v>
      </c>
      <c r="L120" s="18">
        <f>COUNTIFS(TestCases[Story ID],$A120,TestCases[Status],"Blocked")</f>
        <v>0</v>
      </c>
      <c r="M120" s="23">
        <f t="shared" si="3"/>
        <v>0</v>
      </c>
      <c r="N120" s="18">
        <f>'User Stories'!N120</f>
        <v>0</v>
      </c>
    </row>
    <row r="121" spans="1:14">
      <c r="A121" s="21" t="s">
        <v>615</v>
      </c>
      <c r="B121" s="22" t="str">
        <f>'User Stories'!D121</f>
        <v>AI Coaching &amp; Intelligent Assistance</v>
      </c>
      <c r="C121" s="21" t="str">
        <f>'User Stories'!F121</f>
        <v>Medium</v>
      </c>
      <c r="D121" s="21">
        <f>COUNTIF(TestCases[Story ID],$A121)</f>
        <v>6</v>
      </c>
      <c r="E121" s="21">
        <f>COUNTIFS(TestCases[Story ID],$A121,TestCases[Type],"Positive")</f>
        <v>2</v>
      </c>
      <c r="F121" s="21">
        <f>COUNTIFS(TestCases[Story ID],$A121,TestCases[Type],"Negative")</f>
        <v>1</v>
      </c>
      <c r="G121" s="21">
        <f>COUNTIFS(TestCases[Story ID],$A121,TestCases[Type],"Security")</f>
        <v>3</v>
      </c>
      <c r="H121" s="21">
        <f>COUNTIFS(TestCases[Story ID],$A121,TestCases[Type],"Boundary")</f>
        <v>0</v>
      </c>
      <c r="I121" s="21">
        <f>COUNTIFS(TestCases[Story ID],$A121,TestCases[Status],"Not Run")</f>
        <v>6</v>
      </c>
      <c r="J121" s="21">
        <f>COUNTIFS(TestCases[Story ID],$A121,TestCases[Status],"Pass")</f>
        <v>0</v>
      </c>
      <c r="K121" s="21">
        <f>COUNTIFS(TestCases[Story ID],$A121,TestCases[Status],"Fail")</f>
        <v>0</v>
      </c>
      <c r="L121" s="21">
        <f>COUNTIFS(TestCases[Story ID],$A121,TestCases[Status],"Blocked")</f>
        <v>0</v>
      </c>
      <c r="M121" s="24">
        <f t="shared" si="3"/>
        <v>0</v>
      </c>
      <c r="N121" s="21">
        <f>'User Stories'!N121</f>
        <v>0</v>
      </c>
    </row>
    <row r="122" spans="1:14">
      <c r="A122" s="18" t="s">
        <v>619</v>
      </c>
      <c r="B122" s="19" t="str">
        <f>'User Stories'!D122</f>
        <v>AI Coaching &amp; Intelligent Assistance</v>
      </c>
      <c r="C122" s="18" t="str">
        <f>'User Stories'!F122</f>
        <v>Medium</v>
      </c>
      <c r="D122" s="18">
        <f>COUNTIF(TestCases[Story ID],$A122)</f>
        <v>5</v>
      </c>
      <c r="E122" s="18">
        <f>COUNTIFS(TestCases[Story ID],$A122,TestCases[Type],"Positive")</f>
        <v>2</v>
      </c>
      <c r="F122" s="18">
        <f>COUNTIFS(TestCases[Story ID],$A122,TestCases[Type],"Negative")</f>
        <v>0</v>
      </c>
      <c r="G122" s="18">
        <f>COUNTIFS(TestCases[Story ID],$A122,TestCases[Type],"Security")</f>
        <v>3</v>
      </c>
      <c r="H122" s="18">
        <f>COUNTIFS(TestCases[Story ID],$A122,TestCases[Type],"Boundary")</f>
        <v>0</v>
      </c>
      <c r="I122" s="18">
        <f>COUNTIFS(TestCases[Story ID],$A122,TestCases[Status],"Not Run")</f>
        <v>5</v>
      </c>
      <c r="J122" s="18">
        <f>COUNTIFS(TestCases[Story ID],$A122,TestCases[Status],"Pass")</f>
        <v>0</v>
      </c>
      <c r="K122" s="18">
        <f>COUNTIFS(TestCases[Story ID],$A122,TestCases[Status],"Fail")</f>
        <v>0</v>
      </c>
      <c r="L122" s="18">
        <f>COUNTIFS(TestCases[Story ID],$A122,TestCases[Status],"Blocked")</f>
        <v>0</v>
      </c>
      <c r="M122" s="23">
        <f t="shared" si="3"/>
        <v>0</v>
      </c>
      <c r="N122" s="18">
        <f>'User Stories'!N122</f>
        <v>0</v>
      </c>
    </row>
    <row r="123" spans="1:14">
      <c r="A123" s="21" t="s">
        <v>623</v>
      </c>
      <c r="B123" s="22" t="str">
        <f>'User Stories'!D123</f>
        <v>AI Coaching &amp; Intelligent Assistance</v>
      </c>
      <c r="C123" s="21" t="str">
        <f>'User Stories'!F123</f>
        <v>Low</v>
      </c>
      <c r="D123" s="21">
        <f>COUNTIF(TestCases[Story ID],$A123)</f>
        <v>5</v>
      </c>
      <c r="E123" s="21">
        <f>COUNTIFS(TestCases[Story ID],$A123,TestCases[Type],"Positive")</f>
        <v>2</v>
      </c>
      <c r="F123" s="21">
        <f>COUNTIFS(TestCases[Story ID],$A123,TestCases[Type],"Negative")</f>
        <v>0</v>
      </c>
      <c r="G123" s="21">
        <f>COUNTIFS(TestCases[Story ID],$A123,TestCases[Type],"Security")</f>
        <v>3</v>
      </c>
      <c r="H123" s="21">
        <f>COUNTIFS(TestCases[Story ID],$A123,TestCases[Type],"Boundary")</f>
        <v>0</v>
      </c>
      <c r="I123" s="21">
        <f>COUNTIFS(TestCases[Story ID],$A123,TestCases[Status],"Not Run")</f>
        <v>5</v>
      </c>
      <c r="J123" s="21">
        <f>COUNTIFS(TestCases[Story ID],$A123,TestCases[Status],"Pass")</f>
        <v>0</v>
      </c>
      <c r="K123" s="21">
        <f>COUNTIFS(TestCases[Story ID],$A123,TestCases[Status],"Fail")</f>
        <v>0</v>
      </c>
      <c r="L123" s="21">
        <f>COUNTIFS(TestCases[Story ID],$A123,TestCases[Status],"Blocked")</f>
        <v>0</v>
      </c>
      <c r="M123" s="24">
        <f t="shared" si="3"/>
        <v>0</v>
      </c>
      <c r="N123" s="21">
        <f>'User Stories'!N123</f>
        <v>0</v>
      </c>
    </row>
    <row r="124" spans="1:14">
      <c r="A124" s="18" t="s">
        <v>627</v>
      </c>
      <c r="B124" s="19" t="str">
        <f>'User Stories'!D124</f>
        <v>AI Coaching &amp; Intelligent Assistance</v>
      </c>
      <c r="C124" s="18" t="str">
        <f>'User Stories'!F124</f>
        <v>Medium</v>
      </c>
      <c r="D124" s="18">
        <f>COUNTIF(TestCases[Story ID],$A124)</f>
        <v>5</v>
      </c>
      <c r="E124" s="18">
        <f>COUNTIFS(TestCases[Story ID],$A124,TestCases[Type],"Positive")</f>
        <v>2</v>
      </c>
      <c r="F124" s="18">
        <f>COUNTIFS(TestCases[Story ID],$A124,TestCases[Type],"Negative")</f>
        <v>0</v>
      </c>
      <c r="G124" s="18">
        <f>COUNTIFS(TestCases[Story ID],$A124,TestCases[Type],"Security")</f>
        <v>3</v>
      </c>
      <c r="H124" s="18">
        <f>COUNTIFS(TestCases[Story ID],$A124,TestCases[Type],"Boundary")</f>
        <v>0</v>
      </c>
      <c r="I124" s="18">
        <f>COUNTIFS(TestCases[Story ID],$A124,TestCases[Status],"Not Run")</f>
        <v>5</v>
      </c>
      <c r="J124" s="18">
        <f>COUNTIFS(TestCases[Story ID],$A124,TestCases[Status],"Pass")</f>
        <v>0</v>
      </c>
      <c r="K124" s="18">
        <f>COUNTIFS(TestCases[Story ID],$A124,TestCases[Status],"Fail")</f>
        <v>0</v>
      </c>
      <c r="L124" s="18">
        <f>COUNTIFS(TestCases[Story ID],$A124,TestCases[Status],"Blocked")</f>
        <v>0</v>
      </c>
      <c r="M124" s="23">
        <f t="shared" si="3"/>
        <v>0</v>
      </c>
      <c r="N124" s="18">
        <f>'User Stories'!N124</f>
        <v>0</v>
      </c>
    </row>
    <row r="125" spans="1:14">
      <c r="A125" s="21" t="s">
        <v>631</v>
      </c>
      <c r="B125" s="22" t="str">
        <f>'User Stories'!D125</f>
        <v>AI Coaching &amp; Intelligent Assistance</v>
      </c>
      <c r="C125" s="21" t="str">
        <f>'User Stories'!F125</f>
        <v>Medium</v>
      </c>
      <c r="D125" s="21">
        <f>COUNTIF(TestCases[Story ID],$A125)</f>
        <v>6</v>
      </c>
      <c r="E125" s="21">
        <f>COUNTIFS(TestCases[Story ID],$A125,TestCases[Type],"Positive")</f>
        <v>3</v>
      </c>
      <c r="F125" s="21">
        <f>COUNTIFS(TestCases[Story ID],$A125,TestCases[Type],"Negative")</f>
        <v>1</v>
      </c>
      <c r="G125" s="21">
        <f>COUNTIFS(TestCases[Story ID],$A125,TestCases[Type],"Security")</f>
        <v>2</v>
      </c>
      <c r="H125" s="21">
        <f>COUNTIFS(TestCases[Story ID],$A125,TestCases[Type],"Boundary")</f>
        <v>0</v>
      </c>
      <c r="I125" s="21">
        <f>COUNTIFS(TestCases[Story ID],$A125,TestCases[Status],"Not Run")</f>
        <v>6</v>
      </c>
      <c r="J125" s="21">
        <f>COUNTIFS(TestCases[Story ID],$A125,TestCases[Status],"Pass")</f>
        <v>0</v>
      </c>
      <c r="K125" s="21">
        <f>COUNTIFS(TestCases[Story ID],$A125,TestCases[Status],"Fail")</f>
        <v>0</v>
      </c>
      <c r="L125" s="21">
        <f>COUNTIFS(TestCases[Story ID],$A125,TestCases[Status],"Blocked")</f>
        <v>0</v>
      </c>
      <c r="M125" s="24">
        <f t="shared" si="3"/>
        <v>0</v>
      </c>
      <c r="N125" s="21">
        <f>'User Stories'!N125</f>
        <v>0</v>
      </c>
    </row>
    <row r="126" spans="1:14">
      <c r="A126" s="18" t="s">
        <v>635</v>
      </c>
      <c r="B126" s="19" t="str">
        <f>'User Stories'!D126</f>
        <v>AI Coaching &amp; Intelligent Assistance</v>
      </c>
      <c r="C126" s="18" t="str">
        <f>'User Stories'!F126</f>
        <v>High</v>
      </c>
      <c r="D126" s="18">
        <f>COUNTIF(TestCases[Story ID],$A126)</f>
        <v>7</v>
      </c>
      <c r="E126" s="18">
        <f>COUNTIFS(TestCases[Story ID],$A126,TestCases[Type],"Positive")</f>
        <v>4</v>
      </c>
      <c r="F126" s="18">
        <f>COUNTIFS(TestCases[Story ID],$A126,TestCases[Type],"Negative")</f>
        <v>0</v>
      </c>
      <c r="G126" s="18">
        <f>COUNTIFS(TestCases[Story ID],$A126,TestCases[Type],"Security")</f>
        <v>3</v>
      </c>
      <c r="H126" s="18">
        <f>COUNTIFS(TestCases[Story ID],$A126,TestCases[Type],"Boundary")</f>
        <v>0</v>
      </c>
      <c r="I126" s="18">
        <f>COUNTIFS(TestCases[Story ID],$A126,TestCases[Status],"Not Run")</f>
        <v>7</v>
      </c>
      <c r="J126" s="18">
        <f>COUNTIFS(TestCases[Story ID],$A126,TestCases[Status],"Pass")</f>
        <v>0</v>
      </c>
      <c r="K126" s="18">
        <f>COUNTIFS(TestCases[Story ID],$A126,TestCases[Status],"Fail")</f>
        <v>0</v>
      </c>
      <c r="L126" s="18">
        <f>COUNTIFS(TestCases[Story ID],$A126,TestCases[Status],"Blocked")</f>
        <v>0</v>
      </c>
      <c r="M126" s="23">
        <f t="shared" si="3"/>
        <v>0</v>
      </c>
      <c r="N126" s="18">
        <f>'User Stories'!N126</f>
        <v>0</v>
      </c>
    </row>
    <row r="127" spans="1:14" ht="27.95">
      <c r="A127" s="21" t="s">
        <v>639</v>
      </c>
      <c r="B127" s="22" t="str">
        <f>'User Stories'!D127</f>
        <v>Reporting, Analytics &amp; Executive Dashboards</v>
      </c>
      <c r="C127" s="21" t="str">
        <f>'User Stories'!F127</f>
        <v>Critical</v>
      </c>
      <c r="D127" s="21">
        <f>COUNTIF(TestCases[Story ID],$A127)</f>
        <v>13</v>
      </c>
      <c r="E127" s="21">
        <f>COUNTIFS(TestCases[Story ID],$A127,TestCases[Type],"Positive")</f>
        <v>7</v>
      </c>
      <c r="F127" s="21">
        <f>COUNTIFS(TestCases[Story ID],$A127,TestCases[Type],"Negative")</f>
        <v>3</v>
      </c>
      <c r="G127" s="21">
        <f>COUNTIFS(TestCases[Story ID],$A127,TestCases[Type],"Security")</f>
        <v>3</v>
      </c>
      <c r="H127" s="21">
        <f>COUNTIFS(TestCases[Story ID],$A127,TestCases[Type],"Boundary")</f>
        <v>0</v>
      </c>
      <c r="I127" s="21">
        <f>COUNTIFS(TestCases[Story ID],$A127,TestCases[Status],"Not Run")</f>
        <v>13</v>
      </c>
      <c r="J127" s="21">
        <f>COUNTIFS(TestCases[Story ID],$A127,TestCases[Status],"Pass")</f>
        <v>0</v>
      </c>
      <c r="K127" s="21">
        <f>COUNTIFS(TestCases[Story ID],$A127,TestCases[Status],"Fail")</f>
        <v>0</v>
      </c>
      <c r="L127" s="21">
        <f>COUNTIFS(TestCases[Story ID],$A127,TestCases[Status],"Blocked")</f>
        <v>0</v>
      </c>
      <c r="M127" s="24">
        <f t="shared" si="3"/>
        <v>0</v>
      </c>
      <c r="N127" s="21">
        <f>'User Stories'!N127</f>
        <v>0</v>
      </c>
    </row>
    <row r="128" spans="1:14" ht="27.95">
      <c r="A128" s="18" t="s">
        <v>646</v>
      </c>
      <c r="B128" s="19" t="str">
        <f>'User Stories'!D128</f>
        <v>Reporting, Analytics &amp; Executive Dashboards</v>
      </c>
      <c r="C128" s="18" t="str">
        <f>'User Stories'!F128</f>
        <v>Critical</v>
      </c>
      <c r="D128" s="18">
        <f>COUNTIF(TestCases[Story ID],$A128)</f>
        <v>8</v>
      </c>
      <c r="E128" s="18">
        <f>COUNTIFS(TestCases[Story ID],$A128,TestCases[Type],"Positive")</f>
        <v>5</v>
      </c>
      <c r="F128" s="18">
        <f>COUNTIFS(TestCases[Story ID],$A128,TestCases[Type],"Negative")</f>
        <v>1</v>
      </c>
      <c r="G128" s="18">
        <f>COUNTIFS(TestCases[Story ID],$A128,TestCases[Type],"Security")</f>
        <v>2</v>
      </c>
      <c r="H128" s="18">
        <f>COUNTIFS(TestCases[Story ID],$A128,TestCases[Type],"Boundary")</f>
        <v>0</v>
      </c>
      <c r="I128" s="18">
        <f>COUNTIFS(TestCases[Story ID],$A128,TestCases[Status],"Not Run")</f>
        <v>8</v>
      </c>
      <c r="J128" s="18">
        <f>COUNTIFS(TestCases[Story ID],$A128,TestCases[Status],"Pass")</f>
        <v>0</v>
      </c>
      <c r="K128" s="18">
        <f>COUNTIFS(TestCases[Story ID],$A128,TestCases[Status],"Fail")</f>
        <v>0</v>
      </c>
      <c r="L128" s="18">
        <f>COUNTIFS(TestCases[Story ID],$A128,TestCases[Status],"Blocked")</f>
        <v>0</v>
      </c>
      <c r="M128" s="23">
        <f t="shared" si="3"/>
        <v>0</v>
      </c>
      <c r="N128" s="18">
        <f>'User Stories'!N128</f>
        <v>0</v>
      </c>
    </row>
    <row r="129" spans="1:14" ht="27.95">
      <c r="A129" s="21" t="s">
        <v>651</v>
      </c>
      <c r="B129" s="22" t="str">
        <f>'User Stories'!D129</f>
        <v>Reporting, Analytics &amp; Executive Dashboards</v>
      </c>
      <c r="C129" s="21" t="str">
        <f>'User Stories'!F129</f>
        <v>High</v>
      </c>
      <c r="D129" s="21">
        <f>COUNTIF(TestCases[Story ID],$A129)</f>
        <v>8</v>
      </c>
      <c r="E129" s="21">
        <f>COUNTIFS(TestCases[Story ID],$A129,TestCases[Type],"Positive")</f>
        <v>4</v>
      </c>
      <c r="F129" s="21">
        <f>COUNTIFS(TestCases[Story ID],$A129,TestCases[Type],"Negative")</f>
        <v>1</v>
      </c>
      <c r="G129" s="21">
        <f>COUNTIFS(TestCases[Story ID],$A129,TestCases[Type],"Security")</f>
        <v>3</v>
      </c>
      <c r="H129" s="21">
        <f>COUNTIFS(TestCases[Story ID],$A129,TestCases[Type],"Boundary")</f>
        <v>0</v>
      </c>
      <c r="I129" s="21">
        <f>COUNTIFS(TestCases[Story ID],$A129,TestCases[Status],"Not Run")</f>
        <v>8</v>
      </c>
      <c r="J129" s="21">
        <f>COUNTIFS(TestCases[Story ID],$A129,TestCases[Status],"Pass")</f>
        <v>0</v>
      </c>
      <c r="K129" s="21">
        <f>COUNTIFS(TestCases[Story ID],$A129,TestCases[Status],"Fail")</f>
        <v>0</v>
      </c>
      <c r="L129" s="21">
        <f>COUNTIFS(TestCases[Story ID],$A129,TestCases[Status],"Blocked")</f>
        <v>0</v>
      </c>
      <c r="M129" s="24">
        <f t="shared" si="3"/>
        <v>0</v>
      </c>
      <c r="N129" s="21">
        <f>'User Stories'!N129</f>
        <v>0</v>
      </c>
    </row>
    <row r="130" spans="1:14" ht="27.95">
      <c r="A130" s="18" t="s">
        <v>655</v>
      </c>
      <c r="B130" s="19" t="str">
        <f>'User Stories'!D130</f>
        <v>Reporting, Analytics &amp; Executive Dashboards</v>
      </c>
      <c r="C130" s="18" t="str">
        <f>'User Stories'!F130</f>
        <v>High</v>
      </c>
      <c r="D130" s="18">
        <f>COUNTIF(TestCases[Story ID],$A130)</f>
        <v>8</v>
      </c>
      <c r="E130" s="18">
        <f>COUNTIFS(TestCases[Story ID],$A130,TestCases[Type],"Positive")</f>
        <v>4</v>
      </c>
      <c r="F130" s="18">
        <f>COUNTIFS(TestCases[Story ID],$A130,TestCases[Type],"Negative")</f>
        <v>1</v>
      </c>
      <c r="G130" s="18">
        <f>COUNTIFS(TestCases[Story ID],$A130,TestCases[Type],"Security")</f>
        <v>3</v>
      </c>
      <c r="H130" s="18">
        <f>COUNTIFS(TestCases[Story ID],$A130,TestCases[Type],"Boundary")</f>
        <v>0</v>
      </c>
      <c r="I130" s="18">
        <f>COUNTIFS(TestCases[Story ID],$A130,TestCases[Status],"Not Run")</f>
        <v>8</v>
      </c>
      <c r="J130" s="18">
        <f>COUNTIFS(TestCases[Story ID],$A130,TestCases[Status],"Pass")</f>
        <v>0</v>
      </c>
      <c r="K130" s="18">
        <f>COUNTIFS(TestCases[Story ID],$A130,TestCases[Status],"Fail")</f>
        <v>0</v>
      </c>
      <c r="L130" s="18">
        <f>COUNTIFS(TestCases[Story ID],$A130,TestCases[Status],"Blocked")</f>
        <v>0</v>
      </c>
      <c r="M130" s="23">
        <f t="shared" ref="M130:M141" si="4">IF($D130=0,0,$J130/$D130)</f>
        <v>0</v>
      </c>
      <c r="N130" s="18">
        <f>'User Stories'!N130</f>
        <v>0</v>
      </c>
    </row>
    <row r="131" spans="1:14" ht="27.95">
      <c r="A131" s="21" t="s">
        <v>659</v>
      </c>
      <c r="B131" s="22" t="str">
        <f>'User Stories'!D131</f>
        <v>Reporting, Analytics &amp; Executive Dashboards</v>
      </c>
      <c r="C131" s="21" t="str">
        <f>'User Stories'!F131</f>
        <v>High</v>
      </c>
      <c r="D131" s="21">
        <f>COUNTIF(TestCases[Story ID],$A131)</f>
        <v>8</v>
      </c>
      <c r="E131" s="21">
        <f>COUNTIFS(TestCases[Story ID],$A131,TestCases[Type],"Positive")</f>
        <v>4</v>
      </c>
      <c r="F131" s="21">
        <f>COUNTIFS(TestCases[Story ID],$A131,TestCases[Type],"Negative")</f>
        <v>1</v>
      </c>
      <c r="G131" s="21">
        <f>COUNTIFS(TestCases[Story ID],$A131,TestCases[Type],"Security")</f>
        <v>3</v>
      </c>
      <c r="H131" s="21">
        <f>COUNTIFS(TestCases[Story ID],$A131,TestCases[Type],"Boundary")</f>
        <v>0</v>
      </c>
      <c r="I131" s="21">
        <f>COUNTIFS(TestCases[Story ID],$A131,TestCases[Status],"Not Run")</f>
        <v>8</v>
      </c>
      <c r="J131" s="21">
        <f>COUNTIFS(TestCases[Story ID],$A131,TestCases[Status],"Pass")</f>
        <v>0</v>
      </c>
      <c r="K131" s="21">
        <f>COUNTIFS(TestCases[Story ID],$A131,TestCases[Status],"Fail")</f>
        <v>0</v>
      </c>
      <c r="L131" s="21">
        <f>COUNTIFS(TestCases[Story ID],$A131,TestCases[Status],"Blocked")</f>
        <v>0</v>
      </c>
      <c r="M131" s="24">
        <f t="shared" si="4"/>
        <v>0</v>
      </c>
      <c r="N131" s="21">
        <f>'User Stories'!N131</f>
        <v>0</v>
      </c>
    </row>
    <row r="132" spans="1:14" ht="27.95">
      <c r="A132" s="18" t="s">
        <v>663</v>
      </c>
      <c r="B132" s="19" t="str">
        <f>'User Stories'!D132</f>
        <v>Reporting, Analytics &amp; Executive Dashboards</v>
      </c>
      <c r="C132" s="18" t="str">
        <f>'User Stories'!F132</f>
        <v>Critical</v>
      </c>
      <c r="D132" s="18">
        <f>COUNTIF(TestCases[Story ID],$A132)</f>
        <v>8</v>
      </c>
      <c r="E132" s="18">
        <f>COUNTIFS(TestCases[Story ID],$A132,TestCases[Type],"Positive")</f>
        <v>4</v>
      </c>
      <c r="F132" s="18">
        <f>COUNTIFS(TestCases[Story ID],$A132,TestCases[Type],"Negative")</f>
        <v>1</v>
      </c>
      <c r="G132" s="18">
        <f>COUNTIFS(TestCases[Story ID],$A132,TestCases[Type],"Security")</f>
        <v>3</v>
      </c>
      <c r="H132" s="18">
        <f>COUNTIFS(TestCases[Story ID],$A132,TestCases[Type],"Boundary")</f>
        <v>0</v>
      </c>
      <c r="I132" s="18">
        <f>COUNTIFS(TestCases[Story ID],$A132,TestCases[Status],"Not Run")</f>
        <v>8</v>
      </c>
      <c r="J132" s="18">
        <f>COUNTIFS(TestCases[Story ID],$A132,TestCases[Status],"Pass")</f>
        <v>0</v>
      </c>
      <c r="K132" s="18">
        <f>COUNTIFS(TestCases[Story ID],$A132,TestCases[Status],"Fail")</f>
        <v>0</v>
      </c>
      <c r="L132" s="18">
        <f>COUNTIFS(TestCases[Story ID],$A132,TestCases[Status],"Blocked")</f>
        <v>0</v>
      </c>
      <c r="M132" s="23">
        <f t="shared" si="4"/>
        <v>0</v>
      </c>
      <c r="N132" s="18">
        <f>'User Stories'!N132</f>
        <v>0</v>
      </c>
    </row>
    <row r="133" spans="1:14" ht="27.95">
      <c r="A133" s="21" t="s">
        <v>667</v>
      </c>
      <c r="B133" s="22" t="str">
        <f>'User Stories'!D133</f>
        <v>Reporting, Analytics &amp; Executive Dashboards</v>
      </c>
      <c r="C133" s="21" t="str">
        <f>'User Stories'!F133</f>
        <v>High</v>
      </c>
      <c r="D133" s="21">
        <f>COUNTIF(TestCases[Story ID],$A133)</f>
        <v>8</v>
      </c>
      <c r="E133" s="21">
        <f>COUNTIFS(TestCases[Story ID],$A133,TestCases[Type],"Positive")</f>
        <v>4</v>
      </c>
      <c r="F133" s="21">
        <f>COUNTIFS(TestCases[Story ID],$A133,TestCases[Type],"Negative")</f>
        <v>1</v>
      </c>
      <c r="G133" s="21">
        <f>COUNTIFS(TestCases[Story ID],$A133,TestCases[Type],"Security")</f>
        <v>3</v>
      </c>
      <c r="H133" s="21">
        <f>COUNTIFS(TestCases[Story ID],$A133,TestCases[Type],"Boundary")</f>
        <v>0</v>
      </c>
      <c r="I133" s="21">
        <f>COUNTIFS(TestCases[Story ID],$A133,TestCases[Status],"Not Run")</f>
        <v>8</v>
      </c>
      <c r="J133" s="21">
        <f>COUNTIFS(TestCases[Story ID],$A133,TestCases[Status],"Pass")</f>
        <v>0</v>
      </c>
      <c r="K133" s="21">
        <f>COUNTIFS(TestCases[Story ID],$A133,TestCases[Status],"Fail")</f>
        <v>0</v>
      </c>
      <c r="L133" s="21">
        <f>COUNTIFS(TestCases[Story ID],$A133,TestCases[Status],"Blocked")</f>
        <v>0</v>
      </c>
      <c r="M133" s="24">
        <f t="shared" si="4"/>
        <v>0</v>
      </c>
      <c r="N133" s="21">
        <f>'User Stories'!N133</f>
        <v>0</v>
      </c>
    </row>
    <row r="134" spans="1:14" ht="27.95">
      <c r="A134" s="18" t="s">
        <v>671</v>
      </c>
      <c r="B134" s="19" t="str">
        <f>'User Stories'!D134</f>
        <v>Reporting, Analytics &amp; Executive Dashboards</v>
      </c>
      <c r="C134" s="18" t="str">
        <f>'User Stories'!F134</f>
        <v>Critical</v>
      </c>
      <c r="D134" s="18">
        <f>COUNTIF(TestCases[Story ID],$A134)</f>
        <v>9</v>
      </c>
      <c r="E134" s="18">
        <f>COUNTIFS(TestCases[Story ID],$A134,TestCases[Type],"Positive")</f>
        <v>5</v>
      </c>
      <c r="F134" s="18">
        <f>COUNTIFS(TestCases[Story ID],$A134,TestCases[Type],"Negative")</f>
        <v>1</v>
      </c>
      <c r="G134" s="18">
        <f>COUNTIFS(TestCases[Story ID],$A134,TestCases[Type],"Security")</f>
        <v>3</v>
      </c>
      <c r="H134" s="18">
        <f>COUNTIFS(TestCases[Story ID],$A134,TestCases[Type],"Boundary")</f>
        <v>0</v>
      </c>
      <c r="I134" s="18">
        <f>COUNTIFS(TestCases[Story ID],$A134,TestCases[Status],"Not Run")</f>
        <v>9</v>
      </c>
      <c r="J134" s="18">
        <f>COUNTIFS(TestCases[Story ID],$A134,TestCases[Status],"Pass")</f>
        <v>0</v>
      </c>
      <c r="K134" s="18">
        <f>COUNTIFS(TestCases[Story ID],$A134,TestCases[Status],"Fail")</f>
        <v>0</v>
      </c>
      <c r="L134" s="18">
        <f>COUNTIFS(TestCases[Story ID],$A134,TestCases[Status],"Blocked")</f>
        <v>0</v>
      </c>
      <c r="M134" s="23">
        <f t="shared" si="4"/>
        <v>0</v>
      </c>
      <c r="N134" s="18">
        <f>'User Stories'!N134</f>
        <v>0</v>
      </c>
    </row>
    <row r="135" spans="1:14" ht="27.95">
      <c r="A135" s="21" t="s">
        <v>675</v>
      </c>
      <c r="B135" s="22" t="str">
        <f>'User Stories'!D135</f>
        <v>Reporting, Analytics &amp; Executive Dashboards</v>
      </c>
      <c r="C135" s="21" t="str">
        <f>'User Stories'!F135</f>
        <v>Medium</v>
      </c>
      <c r="D135" s="21">
        <f>COUNTIF(TestCases[Story ID],$A135)</f>
        <v>8</v>
      </c>
      <c r="E135" s="21">
        <f>COUNTIFS(TestCases[Story ID],$A135,TestCases[Type],"Positive")</f>
        <v>4</v>
      </c>
      <c r="F135" s="21">
        <f>COUNTIFS(TestCases[Story ID],$A135,TestCases[Type],"Negative")</f>
        <v>1</v>
      </c>
      <c r="G135" s="21">
        <f>COUNTIFS(TestCases[Story ID],$A135,TestCases[Type],"Security")</f>
        <v>3</v>
      </c>
      <c r="H135" s="21">
        <f>COUNTIFS(TestCases[Story ID],$A135,TestCases[Type],"Boundary")</f>
        <v>0</v>
      </c>
      <c r="I135" s="21">
        <f>COUNTIFS(TestCases[Story ID],$A135,TestCases[Status],"Not Run")</f>
        <v>8</v>
      </c>
      <c r="J135" s="21">
        <f>COUNTIFS(TestCases[Story ID],$A135,TestCases[Status],"Pass")</f>
        <v>0</v>
      </c>
      <c r="K135" s="21">
        <f>COUNTIFS(TestCases[Story ID],$A135,TestCases[Status],"Fail")</f>
        <v>0</v>
      </c>
      <c r="L135" s="21">
        <f>COUNTIFS(TestCases[Story ID],$A135,TestCases[Status],"Blocked")</f>
        <v>0</v>
      </c>
      <c r="M135" s="24">
        <f t="shared" si="4"/>
        <v>0</v>
      </c>
      <c r="N135" s="21">
        <f>'User Stories'!N135</f>
        <v>0</v>
      </c>
    </row>
    <row r="136" spans="1:14" ht="27.95">
      <c r="A136" s="18" t="s">
        <v>679</v>
      </c>
      <c r="B136" s="19" t="str">
        <f>'User Stories'!D136</f>
        <v>Reporting, Analytics &amp; Executive Dashboards</v>
      </c>
      <c r="C136" s="18" t="str">
        <f>'User Stories'!F136</f>
        <v>High</v>
      </c>
      <c r="D136" s="18">
        <f>COUNTIF(TestCases[Story ID],$A136)</f>
        <v>8</v>
      </c>
      <c r="E136" s="18">
        <f>COUNTIFS(TestCases[Story ID],$A136,TestCases[Type],"Positive")</f>
        <v>4</v>
      </c>
      <c r="F136" s="18">
        <f>COUNTIFS(TestCases[Story ID],$A136,TestCases[Type],"Negative")</f>
        <v>1</v>
      </c>
      <c r="G136" s="18">
        <f>COUNTIFS(TestCases[Story ID],$A136,TestCases[Type],"Security")</f>
        <v>3</v>
      </c>
      <c r="H136" s="18">
        <f>COUNTIFS(TestCases[Story ID],$A136,TestCases[Type],"Boundary")</f>
        <v>0</v>
      </c>
      <c r="I136" s="18">
        <f>COUNTIFS(TestCases[Story ID],$A136,TestCases[Status],"Not Run")</f>
        <v>8</v>
      </c>
      <c r="J136" s="18">
        <f>COUNTIFS(TestCases[Story ID],$A136,TestCases[Status],"Pass")</f>
        <v>0</v>
      </c>
      <c r="K136" s="18">
        <f>COUNTIFS(TestCases[Story ID],$A136,TestCases[Status],"Fail")</f>
        <v>0</v>
      </c>
      <c r="L136" s="18">
        <f>COUNTIFS(TestCases[Story ID],$A136,TestCases[Status],"Blocked")</f>
        <v>0</v>
      </c>
      <c r="M136" s="23">
        <f t="shared" si="4"/>
        <v>0</v>
      </c>
      <c r="N136" s="18">
        <f>'User Stories'!N136</f>
        <v>0</v>
      </c>
    </row>
    <row r="137" spans="1:14" ht="27.95">
      <c r="A137" s="21" t="s">
        <v>683</v>
      </c>
      <c r="B137" s="22" t="str">
        <f>'User Stories'!D137</f>
        <v>Reporting, Analytics &amp; Executive Dashboards</v>
      </c>
      <c r="C137" s="21" t="str">
        <f>'User Stories'!F137</f>
        <v>Medium</v>
      </c>
      <c r="D137" s="21">
        <f>COUNTIF(TestCases[Story ID],$A137)</f>
        <v>8</v>
      </c>
      <c r="E137" s="21">
        <f>COUNTIFS(TestCases[Story ID],$A137,TestCases[Type],"Positive")</f>
        <v>4</v>
      </c>
      <c r="F137" s="21">
        <f>COUNTIFS(TestCases[Story ID],$A137,TestCases[Type],"Negative")</f>
        <v>1</v>
      </c>
      <c r="G137" s="21">
        <f>COUNTIFS(TestCases[Story ID],$A137,TestCases[Type],"Security")</f>
        <v>3</v>
      </c>
      <c r="H137" s="21">
        <f>COUNTIFS(TestCases[Story ID],$A137,TestCases[Type],"Boundary")</f>
        <v>0</v>
      </c>
      <c r="I137" s="21">
        <f>COUNTIFS(TestCases[Story ID],$A137,TestCases[Status],"Not Run")</f>
        <v>8</v>
      </c>
      <c r="J137" s="21">
        <f>COUNTIFS(TestCases[Story ID],$A137,TestCases[Status],"Pass")</f>
        <v>0</v>
      </c>
      <c r="K137" s="21">
        <f>COUNTIFS(TestCases[Story ID],$A137,TestCases[Status],"Fail")</f>
        <v>0</v>
      </c>
      <c r="L137" s="21">
        <f>COUNTIFS(TestCases[Story ID],$A137,TestCases[Status],"Blocked")</f>
        <v>0</v>
      </c>
      <c r="M137" s="24">
        <f t="shared" si="4"/>
        <v>0</v>
      </c>
      <c r="N137" s="21">
        <f>'User Stories'!N137</f>
        <v>0</v>
      </c>
    </row>
    <row r="138" spans="1:14" ht="27.95">
      <c r="A138" s="18" t="s">
        <v>687</v>
      </c>
      <c r="B138" s="19" t="str">
        <f>'User Stories'!D138</f>
        <v>Reporting, Analytics &amp; Executive Dashboards</v>
      </c>
      <c r="C138" s="18" t="str">
        <f>'User Stories'!F138</f>
        <v>Medium</v>
      </c>
      <c r="D138" s="18">
        <f>COUNTIF(TestCases[Story ID],$A138)</f>
        <v>8</v>
      </c>
      <c r="E138" s="18">
        <f>COUNTIFS(TestCases[Story ID],$A138,TestCases[Type],"Positive")</f>
        <v>4</v>
      </c>
      <c r="F138" s="18">
        <f>COUNTIFS(TestCases[Story ID],$A138,TestCases[Type],"Negative")</f>
        <v>1</v>
      </c>
      <c r="G138" s="18">
        <f>COUNTIFS(TestCases[Story ID],$A138,TestCases[Type],"Security")</f>
        <v>3</v>
      </c>
      <c r="H138" s="18">
        <f>COUNTIFS(TestCases[Story ID],$A138,TestCases[Type],"Boundary")</f>
        <v>0</v>
      </c>
      <c r="I138" s="18">
        <f>COUNTIFS(TestCases[Story ID],$A138,TestCases[Status],"Not Run")</f>
        <v>8</v>
      </c>
      <c r="J138" s="18">
        <f>COUNTIFS(TestCases[Story ID],$A138,TestCases[Status],"Pass")</f>
        <v>0</v>
      </c>
      <c r="K138" s="18">
        <f>COUNTIFS(TestCases[Story ID],$A138,TestCases[Status],"Fail")</f>
        <v>0</v>
      </c>
      <c r="L138" s="18">
        <f>COUNTIFS(TestCases[Story ID],$A138,TestCases[Status],"Blocked")</f>
        <v>0</v>
      </c>
      <c r="M138" s="23">
        <f t="shared" si="4"/>
        <v>0</v>
      </c>
      <c r="N138" s="18">
        <f>'User Stories'!N138</f>
        <v>0</v>
      </c>
    </row>
    <row r="139" spans="1:14" ht="27.95">
      <c r="A139" s="21" t="s">
        <v>691</v>
      </c>
      <c r="B139" s="22" t="str">
        <f>'User Stories'!D139</f>
        <v>Reporting, Analytics &amp; Executive Dashboards</v>
      </c>
      <c r="C139" s="21" t="str">
        <f>'User Stories'!F139</f>
        <v>Critical</v>
      </c>
      <c r="D139" s="21">
        <f>COUNTIF(TestCases[Story ID],$A139)</f>
        <v>6</v>
      </c>
      <c r="E139" s="21">
        <f>COUNTIFS(TestCases[Story ID],$A139,TestCases[Type],"Positive")</f>
        <v>4</v>
      </c>
      <c r="F139" s="21">
        <f>COUNTIFS(TestCases[Story ID],$A139,TestCases[Type],"Negative")</f>
        <v>0</v>
      </c>
      <c r="G139" s="21">
        <f>COUNTIFS(TestCases[Story ID],$A139,TestCases[Type],"Security")</f>
        <v>2</v>
      </c>
      <c r="H139" s="21">
        <f>COUNTIFS(TestCases[Story ID],$A139,TestCases[Type],"Boundary")</f>
        <v>0</v>
      </c>
      <c r="I139" s="21">
        <f>COUNTIFS(TestCases[Story ID],$A139,TestCases[Status],"Not Run")</f>
        <v>6</v>
      </c>
      <c r="J139" s="21">
        <f>COUNTIFS(TestCases[Story ID],$A139,TestCases[Status],"Pass")</f>
        <v>0</v>
      </c>
      <c r="K139" s="21">
        <f>COUNTIFS(TestCases[Story ID],$A139,TestCases[Status],"Fail")</f>
        <v>0</v>
      </c>
      <c r="L139" s="21">
        <f>COUNTIFS(TestCases[Story ID],$A139,TestCases[Status],"Blocked")</f>
        <v>0</v>
      </c>
      <c r="M139" s="24">
        <f t="shared" si="4"/>
        <v>0</v>
      </c>
      <c r="N139" s="21">
        <f>'User Stories'!N139</f>
        <v>0</v>
      </c>
    </row>
    <row r="140" spans="1:14" ht="27.95">
      <c r="A140" s="18" t="s">
        <v>695</v>
      </c>
      <c r="B140" s="19" t="str">
        <f>'User Stories'!D140</f>
        <v>Reporting, Analytics &amp; Executive Dashboards</v>
      </c>
      <c r="C140" s="18" t="str">
        <f>'User Stories'!F140</f>
        <v>Medium</v>
      </c>
      <c r="D140" s="18">
        <f>COUNTIF(TestCases[Story ID],$A140)</f>
        <v>7</v>
      </c>
      <c r="E140" s="18">
        <f>COUNTIFS(TestCases[Story ID],$A140,TestCases[Type],"Positive")</f>
        <v>4</v>
      </c>
      <c r="F140" s="18">
        <f>COUNTIFS(TestCases[Story ID],$A140,TestCases[Type],"Negative")</f>
        <v>0</v>
      </c>
      <c r="G140" s="18">
        <f>COUNTIFS(TestCases[Story ID],$A140,TestCases[Type],"Security")</f>
        <v>3</v>
      </c>
      <c r="H140" s="18">
        <f>COUNTIFS(TestCases[Story ID],$A140,TestCases[Type],"Boundary")</f>
        <v>0</v>
      </c>
      <c r="I140" s="18">
        <f>COUNTIFS(TestCases[Story ID],$A140,TestCases[Status],"Not Run")</f>
        <v>7</v>
      </c>
      <c r="J140" s="18">
        <f>COUNTIFS(TestCases[Story ID],$A140,TestCases[Status],"Pass")</f>
        <v>0</v>
      </c>
      <c r="K140" s="18">
        <f>COUNTIFS(TestCases[Story ID],$A140,TestCases[Status],"Fail")</f>
        <v>0</v>
      </c>
      <c r="L140" s="18">
        <f>COUNTIFS(TestCases[Story ID],$A140,TestCases[Status],"Blocked")</f>
        <v>0</v>
      </c>
      <c r="M140" s="23">
        <f t="shared" si="4"/>
        <v>0</v>
      </c>
      <c r="N140" s="18">
        <f>'User Stories'!N140</f>
        <v>0</v>
      </c>
    </row>
    <row r="141" spans="1:14" ht="27.95">
      <c r="A141" s="21" t="s">
        <v>699</v>
      </c>
      <c r="B141" s="22" t="str">
        <f>'User Stories'!D141</f>
        <v>Reporting, Analytics &amp; Executive Dashboards</v>
      </c>
      <c r="C141" s="21" t="str">
        <f>'User Stories'!F141</f>
        <v>Critical</v>
      </c>
      <c r="D141" s="21">
        <f>COUNTIF(TestCases[Story ID],$A141)</f>
        <v>15</v>
      </c>
      <c r="E141" s="21">
        <f>COUNTIFS(TestCases[Story ID],$A141,TestCases[Type],"Positive")</f>
        <v>7</v>
      </c>
      <c r="F141" s="21">
        <f>COUNTIFS(TestCases[Story ID],$A141,TestCases[Type],"Negative")</f>
        <v>4</v>
      </c>
      <c r="G141" s="21">
        <f>COUNTIFS(TestCases[Story ID],$A141,TestCases[Type],"Security")</f>
        <v>4</v>
      </c>
      <c r="H141" s="21">
        <f>COUNTIFS(TestCases[Story ID],$A141,TestCases[Type],"Boundary")</f>
        <v>0</v>
      </c>
      <c r="I141" s="21">
        <f>COUNTIFS(TestCases[Story ID],$A141,TestCases[Status],"Not Run")</f>
        <v>15</v>
      </c>
      <c r="J141" s="21">
        <f>COUNTIFS(TestCases[Story ID],$A141,TestCases[Status],"Pass")</f>
        <v>0</v>
      </c>
      <c r="K141" s="21">
        <f>COUNTIFS(TestCases[Story ID],$A141,TestCases[Status],"Fail")</f>
        <v>0</v>
      </c>
      <c r="L141" s="21">
        <f>COUNTIFS(TestCases[Story ID],$A141,TestCases[Status],"Blocked")</f>
        <v>0</v>
      </c>
      <c r="M141" s="24">
        <f t="shared" si="4"/>
        <v>0</v>
      </c>
      <c r="N141" s="21">
        <f>'User Stories'!N141</f>
        <v>0</v>
      </c>
    </row>
    <row r="143" spans="1:14">
      <c r="B143" s="25" t="s">
        <v>4656</v>
      </c>
      <c r="D143" s="25">
        <f t="shared" ref="D143:L143" si="5">SUM(D2:D141)</f>
        <v>1177</v>
      </c>
      <c r="E143" s="25">
        <f t="shared" si="5"/>
        <v>539</v>
      </c>
      <c r="F143" s="25">
        <f t="shared" si="5"/>
        <v>201</v>
      </c>
      <c r="G143" s="25">
        <f t="shared" si="5"/>
        <v>430</v>
      </c>
      <c r="H143" s="25">
        <f t="shared" si="5"/>
        <v>7</v>
      </c>
      <c r="I143" s="25">
        <f t="shared" si="5"/>
        <v>1177</v>
      </c>
      <c r="J143" s="25">
        <f t="shared" si="5"/>
        <v>0</v>
      </c>
      <c r="K143" s="25">
        <f t="shared" si="5"/>
        <v>0</v>
      </c>
      <c r="L143" s="25">
        <f t="shared" si="5"/>
        <v>0</v>
      </c>
      <c r="M143" s="26">
        <f>IF(D143=0,0,J143/D143)</f>
        <v>0</v>
      </c>
    </row>
  </sheetData>
  <conditionalFormatting sqref="C2:C141">
    <cfRule type="expression" dxfId="6" priority="2">
      <formula>$C2="Critical"</formula>
    </cfRule>
    <cfRule type="expression" dxfId="5" priority="3">
      <formula>$C2="High"</formula>
    </cfRule>
    <cfRule type="expression" dxfId="4" priority="4">
      <formula>$C2="Medium"</formula>
    </cfRule>
    <cfRule type="expression" dxfId="3" priority="5">
      <formula>$C2="Low"</formula>
    </cfRule>
  </conditionalFormatting>
  <conditionalFormatting sqref="M2:M141">
    <cfRule type="cellIs" dxfId="2" priority="6" operator="equal">
      <formula>1</formula>
    </cfRule>
    <cfRule type="expression" dxfId="1" priority="7">
      <formula>AND($M2&lt;1,$M2&gt;0)</formula>
    </cfRule>
    <cfRule type="expression" dxfId="0" priority="8">
      <formula>$M2=0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1"/>
  <sheetViews>
    <sheetView showGridLines="0" zoomScaleNormal="100" workbookViewId="0">
      <pane ySplit="1" topLeftCell="A2" activePane="bottomLeft" state="frozen"/>
      <selection pane="bottomLeft" activeCell="A7" sqref="A7"/>
    </sheetView>
  </sheetViews>
  <sheetFormatPr defaultColWidth="8.5703125" defaultRowHeight="14.45"/>
  <cols>
    <col min="1" max="1" width="30" customWidth="1"/>
    <col min="2" max="2" width="22" customWidth="1"/>
    <col min="3" max="3" width="40" customWidth="1"/>
  </cols>
  <sheetData>
    <row r="1" spans="1:3" ht="31.5" customHeight="1">
      <c r="A1" s="17" t="s">
        <v>4657</v>
      </c>
      <c r="B1" s="17" t="s">
        <v>4658</v>
      </c>
      <c r="C1" s="17" t="s">
        <v>4659</v>
      </c>
    </row>
    <row r="2" spans="1:3">
      <c r="A2" s="27" t="s">
        <v>135</v>
      </c>
      <c r="B2" s="28"/>
      <c r="C2" s="28"/>
    </row>
    <row r="3" spans="1:3">
      <c r="A3" s="27" t="s">
        <v>97</v>
      </c>
      <c r="B3" s="28"/>
      <c r="C3" s="28"/>
    </row>
    <row r="4" spans="1:3">
      <c r="A4" s="27" t="s">
        <v>117</v>
      </c>
      <c r="B4" s="28"/>
      <c r="C4" s="28"/>
    </row>
    <row r="5" spans="1:3">
      <c r="A5" s="27" t="s">
        <v>82</v>
      </c>
      <c r="B5" s="28"/>
      <c r="C5" s="28"/>
    </row>
    <row r="6" spans="1:3">
      <c r="A6" s="27" t="s">
        <v>108</v>
      </c>
      <c r="B6" s="28"/>
      <c r="C6" s="28"/>
    </row>
    <row r="7" spans="1:3">
      <c r="A7" s="27" t="s">
        <v>126</v>
      </c>
      <c r="B7" s="28"/>
      <c r="C7" s="28"/>
    </row>
    <row r="8" spans="1:3">
      <c r="A8" s="27"/>
      <c r="B8" s="28"/>
      <c r="C8" s="28"/>
    </row>
    <row r="9" spans="1:3">
      <c r="A9" s="27"/>
      <c r="B9" s="28"/>
      <c r="C9" s="28"/>
    </row>
    <row r="10" spans="1:3">
      <c r="A10" s="27"/>
      <c r="B10" s="28"/>
      <c r="C10" s="28"/>
    </row>
    <row r="11" spans="1:3">
      <c r="A11" s="27"/>
      <c r="B11" s="28"/>
      <c r="C11" s="28"/>
    </row>
    <row r="12" spans="1:3">
      <c r="A12" s="27"/>
      <c r="B12" s="28"/>
      <c r="C12" s="28"/>
    </row>
    <row r="13" spans="1:3">
      <c r="A13" s="27"/>
      <c r="B13" s="28"/>
      <c r="C13" s="28"/>
    </row>
    <row r="14" spans="1:3">
      <c r="A14" s="27"/>
      <c r="B14" s="28"/>
      <c r="C14" s="28"/>
    </row>
    <row r="15" spans="1:3">
      <c r="A15" s="27"/>
      <c r="B15" s="28"/>
      <c r="C15" s="28"/>
    </row>
    <row r="16" spans="1:3">
      <c r="A16" s="27"/>
      <c r="B16" s="28"/>
      <c r="C16" s="28"/>
    </row>
    <row r="17" spans="1:3">
      <c r="A17" s="27"/>
      <c r="B17" s="28"/>
      <c r="C17" s="28"/>
    </row>
    <row r="18" spans="1:3">
      <c r="A18" s="27"/>
      <c r="B18" s="28"/>
      <c r="C18" s="28"/>
    </row>
    <row r="19" spans="1:3">
      <c r="A19" s="27"/>
      <c r="B19" s="28"/>
      <c r="C19" s="28"/>
    </row>
    <row r="20" spans="1:3">
      <c r="A20" s="27"/>
      <c r="B20" s="28"/>
      <c r="C20" s="28"/>
    </row>
    <row r="21" spans="1:3">
      <c r="A21" s="27"/>
      <c r="B21" s="28"/>
      <c r="C21" s="28"/>
    </row>
    <row r="22" spans="1:3">
      <c r="A22" s="27"/>
      <c r="B22" s="28"/>
      <c r="C22" s="28"/>
    </row>
    <row r="23" spans="1:3">
      <c r="A23" s="27"/>
      <c r="B23" s="28"/>
      <c r="C23" s="28"/>
    </row>
    <row r="24" spans="1:3">
      <c r="A24" s="27"/>
      <c r="B24" s="28"/>
      <c r="C24" s="28"/>
    </row>
    <row r="25" spans="1:3">
      <c r="A25" s="27"/>
      <c r="B25" s="28"/>
      <c r="C25" s="28"/>
    </row>
    <row r="26" spans="1:3">
      <c r="A26" s="27"/>
      <c r="B26" s="28"/>
      <c r="C26" s="28"/>
    </row>
    <row r="27" spans="1:3">
      <c r="A27" s="27"/>
      <c r="B27" s="28"/>
      <c r="C27" s="28"/>
    </row>
    <row r="28" spans="1:3">
      <c r="A28" s="27"/>
      <c r="B28" s="28"/>
      <c r="C28" s="28"/>
    </row>
    <row r="29" spans="1:3">
      <c r="A29" s="27"/>
      <c r="B29" s="28"/>
      <c r="C29" s="28"/>
    </row>
    <row r="30" spans="1:3">
      <c r="A30" s="27"/>
      <c r="B30" s="28"/>
      <c r="C30" s="28"/>
    </row>
    <row r="31" spans="1:3">
      <c r="A31" s="27"/>
      <c r="B31" s="28"/>
      <c r="C31" s="28"/>
    </row>
    <row r="32" spans="1:3">
      <c r="A32" s="27"/>
      <c r="B32" s="28"/>
      <c r="C32" s="28"/>
    </row>
    <row r="33" spans="1:3">
      <c r="A33" s="27"/>
      <c r="B33" s="28"/>
      <c r="C33" s="28"/>
    </row>
    <row r="34" spans="1:3">
      <c r="A34" s="27"/>
      <c r="B34" s="28"/>
      <c r="C34" s="28"/>
    </row>
    <row r="35" spans="1:3">
      <c r="A35" s="27"/>
      <c r="B35" s="28"/>
      <c r="C35" s="28"/>
    </row>
    <row r="36" spans="1:3">
      <c r="A36" s="27"/>
      <c r="B36" s="28"/>
      <c r="C36" s="28"/>
    </row>
    <row r="37" spans="1:3">
      <c r="A37" s="27"/>
      <c r="B37" s="28"/>
      <c r="C37" s="28"/>
    </row>
    <row r="38" spans="1:3">
      <c r="A38" s="27"/>
      <c r="B38" s="28"/>
      <c r="C38" s="28"/>
    </row>
    <row r="39" spans="1:3">
      <c r="A39" s="27"/>
      <c r="B39" s="28"/>
      <c r="C39" s="28"/>
    </row>
    <row r="40" spans="1:3">
      <c r="A40" s="27"/>
      <c r="B40" s="28"/>
      <c r="C40" s="28"/>
    </row>
    <row r="41" spans="1:3">
      <c r="A41" s="27"/>
      <c r="B41" s="28"/>
      <c r="C41" s="28"/>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2026-07-14T04:28:41Z</dcterms:created>
  <dcterms:modified xsi:type="dcterms:W3CDTF">2026-07-15T10:27:02Z</dcterms:modified>
  <cp:category/>
  <cp:contentStatus/>
</cp:coreProperties>
</file>